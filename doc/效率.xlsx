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D:\02MyCode\TDCGprogram\doc\"/>
    </mc:Choice>
  </mc:AlternateContent>
  <xr:revisionPtr revIDLastSave="0" documentId="13_ncr:1_{77010725-BBA1-4CAC-AA33-F00284ADEAB6}" xr6:coauthVersionLast="46" xr6:coauthVersionMax="46" xr10:uidLastSave="{00000000-0000-0000-0000-000000000000}"/>
  <bookViews>
    <workbookView xWindow="-93" yWindow="-93" windowWidth="25786" windowHeight="1366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1" l="1"/>
  <c r="E7" i="1"/>
  <c r="F5" i="1"/>
  <c r="E5" i="1"/>
  <c r="E6" i="1"/>
  <c r="E8" i="1"/>
</calcChain>
</file>

<file path=xl/sharedStrings.xml><?xml version="1.0" encoding="utf-8"?>
<sst xmlns="http://schemas.openxmlformats.org/spreadsheetml/2006/main" count="33" uniqueCount="17">
  <si>
    <t>几何与层数</t>
    <phoneticPr fontId="1" type="noConversion"/>
  </si>
  <si>
    <t>Date</t>
    <phoneticPr fontId="1" type="noConversion"/>
  </si>
  <si>
    <t>编译器：ifort-O3</t>
    <phoneticPr fontId="1" type="noConversion"/>
  </si>
  <si>
    <t>lvl3</t>
    <phoneticPr fontId="1" type="noConversion"/>
  </si>
  <si>
    <t>lvl5</t>
    <phoneticPr fontId="1" type="noConversion"/>
  </si>
  <si>
    <t>cIntersectMethod</t>
    <phoneticPr fontId="1" type="noConversion"/>
  </si>
  <si>
    <t>优化内容</t>
    <phoneticPr fontId="1" type="noConversion"/>
  </si>
  <si>
    <t>ncells</t>
    <phoneticPr fontId="1" type="noConversion"/>
  </si>
  <si>
    <t>body-1016element-domain(-150~+150)-nCell(20,20,20)</t>
    <phoneticPr fontId="1" type="noConversion"/>
  </si>
  <si>
    <t>在射线相交法中引入bbox快速判断，并修改染色算法底层逻辑</t>
    <phoneticPr fontId="1" type="noConversion"/>
  </si>
  <si>
    <t>Total time</t>
    <phoneticPr fontId="1" type="noConversion"/>
  </si>
  <si>
    <t>\</t>
    <phoneticPr fontId="1" type="noConversion"/>
  </si>
  <si>
    <t>PA time</t>
    <phoneticPr fontId="1" type="noConversion"/>
  </si>
  <si>
    <t>380A-35124element-domain(-40,-1.7,3,-26,1.7,5.5)-nCell(100,40,40)</t>
    <phoneticPr fontId="1" type="noConversion"/>
  </si>
  <si>
    <t>-</t>
    <phoneticPr fontId="1" type="noConversion"/>
  </si>
  <si>
    <t>RayCast优化，若射线相交次数为0，则直接判断为外部单元；若两次射线结果一致，则不进行第三次判断。</t>
    <phoneticPr fontId="1" type="noConversion"/>
  </si>
  <si>
    <t>RayCast优化，cshift语句移动到递归外部，减少循环次数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</si>
</sst>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F13" sqref="F13"/>
    </sheetView>
  </sheetViews>
  <sheetFormatPr defaultRowHeight="14" x14ac:dyDescent="0.45"/>
  <cols>
    <col min="1" max="1" width="12.87890625" customWidth="1"/>
    <col min="2" max="2" width="38" style="3" customWidth="1"/>
    <col min="3" max="3" width="16.1171875" customWidth="1"/>
    <col min="4" max="4" width="7.41015625" customWidth="1"/>
    <col min="5" max="5" width="9" customWidth="1"/>
  </cols>
  <sheetData>
    <row r="1" spans="1:15" x14ac:dyDescent="0.45">
      <c r="A1" t="s">
        <v>2</v>
      </c>
      <c r="D1" t="s">
        <v>0</v>
      </c>
    </row>
    <row r="2" spans="1:15" x14ac:dyDescent="0.45">
      <c r="A2" t="s">
        <v>1</v>
      </c>
      <c r="B2" s="3" t="s">
        <v>6</v>
      </c>
      <c r="C2" t="s">
        <v>5</v>
      </c>
      <c r="D2" t="s">
        <v>8</v>
      </c>
      <c r="J2" t="s">
        <v>13</v>
      </c>
    </row>
    <row r="3" spans="1:15" x14ac:dyDescent="0.45">
      <c r="D3" t="s">
        <v>3</v>
      </c>
      <c r="G3" t="s">
        <v>4</v>
      </c>
      <c r="J3" t="s">
        <v>3</v>
      </c>
      <c r="M3" t="s">
        <v>4</v>
      </c>
    </row>
    <row r="4" spans="1:15" x14ac:dyDescent="0.45">
      <c r="D4" t="s">
        <v>7</v>
      </c>
      <c r="E4" t="s">
        <v>10</v>
      </c>
      <c r="F4" t="s">
        <v>12</v>
      </c>
      <c r="G4" t="s">
        <v>7</v>
      </c>
      <c r="H4" t="s">
        <v>10</v>
      </c>
      <c r="I4" t="s">
        <v>12</v>
      </c>
      <c r="J4" t="s">
        <v>7</v>
      </c>
      <c r="K4" t="s">
        <v>10</v>
      </c>
      <c r="L4" t="s">
        <v>12</v>
      </c>
      <c r="M4" t="s">
        <v>7</v>
      </c>
      <c r="N4" t="s">
        <v>10</v>
      </c>
      <c r="O4" t="s">
        <v>12</v>
      </c>
    </row>
    <row r="5" spans="1:15" x14ac:dyDescent="0.45">
      <c r="A5" s="1">
        <v>44307</v>
      </c>
      <c r="B5" s="2" t="s">
        <v>9</v>
      </c>
      <c r="C5">
        <v>1</v>
      </c>
      <c r="D5">
        <v>148819</v>
      </c>
      <c r="E5">
        <f>AVERAGE(140.92,140.58)</f>
        <v>140.75</v>
      </c>
      <c r="F5">
        <f>AVERAGE(13.27,13.25)</f>
        <v>13.26</v>
      </c>
    </row>
    <row r="6" spans="1:15" x14ac:dyDescent="0.45">
      <c r="B6" s="2"/>
      <c r="C6">
        <v>2</v>
      </c>
      <c r="E6">
        <f>AVERAGE(144.89,146.58)</f>
        <v>145.73500000000001</v>
      </c>
      <c r="F6" t="s">
        <v>11</v>
      </c>
    </row>
    <row r="7" spans="1:15" x14ac:dyDescent="0.45">
      <c r="B7" s="2"/>
      <c r="C7">
        <v>3</v>
      </c>
      <c r="D7">
        <v>144605</v>
      </c>
      <c r="E7">
        <f>AVERAGE(12.59,12.78)</f>
        <v>12.684999999999999</v>
      </c>
      <c r="F7">
        <f>AVERAGE(12.2,12.03)</f>
        <v>12.114999999999998</v>
      </c>
      <c r="J7">
        <v>1550165</v>
      </c>
      <c r="K7">
        <v>11241.41</v>
      </c>
      <c r="L7" t="s">
        <v>14</v>
      </c>
    </row>
    <row r="8" spans="1:15" x14ac:dyDescent="0.45">
      <c r="B8" s="2"/>
      <c r="C8">
        <v>4</v>
      </c>
      <c r="E8">
        <f>AVERAGE(20.12,20.38,20.7,20.2)</f>
        <v>20.350000000000001</v>
      </c>
      <c r="F8" t="s">
        <v>11</v>
      </c>
    </row>
    <row r="9" spans="1:15" x14ac:dyDescent="0.45">
      <c r="A9" s="1">
        <v>44309</v>
      </c>
      <c r="B9" s="2" t="s">
        <v>15</v>
      </c>
      <c r="C9">
        <v>1</v>
      </c>
      <c r="D9">
        <v>148819</v>
      </c>
      <c r="E9">
        <v>85.23</v>
      </c>
      <c r="F9">
        <v>8.81</v>
      </c>
    </row>
    <row r="10" spans="1:15" x14ac:dyDescent="0.45">
      <c r="B10" s="2"/>
      <c r="C10">
        <v>2</v>
      </c>
      <c r="E10">
        <v>88.66</v>
      </c>
      <c r="F10" t="s">
        <v>11</v>
      </c>
    </row>
    <row r="11" spans="1:15" x14ac:dyDescent="0.45">
      <c r="B11" s="2"/>
      <c r="C11">
        <v>3</v>
      </c>
      <c r="D11">
        <v>144605</v>
      </c>
      <c r="E11">
        <v>8.5500000000000007</v>
      </c>
      <c r="F11">
        <v>7.97</v>
      </c>
    </row>
    <row r="12" spans="1:15" x14ac:dyDescent="0.45">
      <c r="B12" s="2"/>
      <c r="C12">
        <v>4</v>
      </c>
      <c r="E12">
        <v>13.06</v>
      </c>
      <c r="F12" t="s">
        <v>11</v>
      </c>
    </row>
    <row r="13" spans="1:15" x14ac:dyDescent="0.45">
      <c r="A13" s="1">
        <v>44309</v>
      </c>
      <c r="B13" s="2" t="s">
        <v>16</v>
      </c>
      <c r="C13">
        <v>1</v>
      </c>
      <c r="D13">
        <v>148819</v>
      </c>
      <c r="E13">
        <v>17.16</v>
      </c>
      <c r="F13">
        <v>1.64</v>
      </c>
    </row>
    <row r="14" spans="1:15" x14ac:dyDescent="0.45">
      <c r="B14" s="2"/>
      <c r="C14">
        <v>2</v>
      </c>
      <c r="E14">
        <v>18.27</v>
      </c>
      <c r="F14" t="s">
        <v>11</v>
      </c>
    </row>
    <row r="15" spans="1:15" x14ac:dyDescent="0.45">
      <c r="B15" s="2"/>
      <c r="C15">
        <v>3</v>
      </c>
      <c r="D15">
        <v>144605</v>
      </c>
      <c r="E15">
        <v>2.16</v>
      </c>
      <c r="F15">
        <v>1.67</v>
      </c>
    </row>
    <row r="16" spans="1:15" x14ac:dyDescent="0.45">
      <c r="B16" s="2"/>
      <c r="C16">
        <v>4</v>
      </c>
      <c r="E16">
        <v>3.06</v>
      </c>
      <c r="F16" t="s">
        <v>11</v>
      </c>
    </row>
  </sheetData>
  <mergeCells count="3">
    <mergeCell ref="B5:B8"/>
    <mergeCell ref="B9:B12"/>
    <mergeCell ref="B13:B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Xueliang Li</dc:creator>
  <cp:lastModifiedBy>Xueliang Li</cp:lastModifiedBy>
  <dcterms:created xsi:type="dcterms:W3CDTF">2015-06-05T18:19:34Z</dcterms:created>
  <dcterms:modified xsi:type="dcterms:W3CDTF">2021-04-23T05:28:14Z</dcterms:modified>
</cp:coreProperties>
</file>