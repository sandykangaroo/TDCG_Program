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/>
  <mc:AlternateContent xmlns:mc="http://schemas.openxmlformats.org/markup-compatibility/2006">
    <mc:Choice Requires="x15">
      <x15ac:absPath xmlns:x15ac="http://schemas.microsoft.com/office/spreadsheetml/2010/11/ac" url="D:\02MyCode\"/>
    </mc:Choice>
  </mc:AlternateContent>
  <xr:revisionPtr revIDLastSave="0" documentId="13_ncr:1_{5638D427-5219-4D08-B200-33F8FAFE92C0}" xr6:coauthVersionLast="47" xr6:coauthVersionMax="47" xr10:uidLastSave="{00000000-0000-0000-0000-000000000000}"/>
  <bookViews>
    <workbookView xWindow="-93" yWindow="-93" windowWidth="25786" windowHeight="13666" activeTab="1" xr2:uid="{00000000-000D-0000-FFFF-FFFF00000000}"/>
  </bookViews>
  <sheets>
    <sheet name="程序优化" sheetId="1" r:id="rId1"/>
    <sheet name="小论文" sheetId="2" r:id="rId2"/>
    <sheet name="文献效率" sheetId="3" r:id="rId3"/>
    <sheet name="内存分析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" i="4" l="1"/>
  <c r="J2" i="4"/>
  <c r="Z91" i="2"/>
  <c r="Z92" i="2"/>
  <c r="Z93" i="2"/>
  <c r="Z94" i="2"/>
  <c r="Z90" i="2"/>
  <c r="V94" i="2"/>
  <c r="V93" i="2"/>
  <c r="Y93" i="2" s="1"/>
  <c r="V92" i="2"/>
  <c r="Y92" i="2" s="1"/>
  <c r="V91" i="2"/>
  <c r="V90" i="2"/>
  <c r="Y90" i="2"/>
  <c r="Y91" i="2"/>
  <c r="Y94" i="2"/>
  <c r="W90" i="2"/>
  <c r="X90" i="2"/>
  <c r="W91" i="2"/>
  <c r="X91" i="2"/>
  <c r="W92" i="2"/>
  <c r="X92" i="2"/>
  <c r="W93" i="2"/>
  <c r="X93" i="2"/>
  <c r="W94" i="2"/>
  <c r="X94" i="2"/>
  <c r="Z83" i="2"/>
  <c r="Z84" i="2"/>
  <c r="Z85" i="2"/>
  <c r="Z86" i="2"/>
  <c r="Z87" i="2"/>
  <c r="Z88" i="2"/>
  <c r="Z82" i="2"/>
  <c r="Y83" i="2"/>
  <c r="Y84" i="2"/>
  <c r="Y85" i="2"/>
  <c r="Y86" i="2"/>
  <c r="Y87" i="2"/>
  <c r="Y88" i="2"/>
  <c r="Y82" i="2"/>
  <c r="X88" i="2"/>
  <c r="X87" i="2"/>
  <c r="X86" i="2"/>
  <c r="X85" i="2"/>
  <c r="X84" i="2"/>
  <c r="X83" i="2"/>
  <c r="X82" i="2"/>
  <c r="W88" i="2"/>
  <c r="W87" i="2"/>
  <c r="W86" i="2"/>
  <c r="W85" i="2"/>
  <c r="W84" i="2"/>
  <c r="W83" i="2"/>
  <c r="W82" i="2"/>
  <c r="V82" i="2"/>
  <c r="V83" i="2"/>
  <c r="V84" i="2"/>
  <c r="V85" i="2"/>
  <c r="V86" i="2"/>
  <c r="V87" i="2"/>
  <c r="V88" i="2"/>
  <c r="W45" i="2"/>
  <c r="X45" i="2"/>
  <c r="W46" i="2"/>
  <c r="X46" i="2"/>
  <c r="W47" i="2"/>
  <c r="X47" i="2"/>
  <c r="W48" i="2"/>
  <c r="X48" i="2"/>
  <c r="W49" i="2"/>
  <c r="X49" i="2"/>
  <c r="X44" i="2"/>
  <c r="W44" i="2"/>
  <c r="W43" i="2"/>
  <c r="X43" i="2"/>
  <c r="V45" i="2"/>
  <c r="V46" i="2"/>
  <c r="V47" i="2"/>
  <c r="V48" i="2"/>
  <c r="V49" i="2"/>
  <c r="V44" i="2"/>
  <c r="V43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2" i="2"/>
  <c r="T55" i="2"/>
  <c r="T56" i="2"/>
  <c r="T57" i="2"/>
  <c r="T58" i="2"/>
  <c r="T59" i="2"/>
  <c r="N28" i="3"/>
  <c r="F28" i="3"/>
  <c r="F27" i="3"/>
  <c r="F26" i="3"/>
  <c r="M28" i="3"/>
  <c r="M26" i="3"/>
  <c r="M45" i="2"/>
  <c r="M35" i="2"/>
  <c r="M36" i="2"/>
  <c r="M38" i="2"/>
  <c r="M39" i="2"/>
  <c r="M40" i="2"/>
  <c r="M41" i="2"/>
  <c r="M43" i="2"/>
  <c r="Y27" i="2" s="1"/>
  <c r="AD27" i="2"/>
  <c r="AD26" i="2"/>
  <c r="AC25" i="2"/>
  <c r="AD25" i="2"/>
  <c r="AA25" i="2"/>
  <c r="Z25" i="2"/>
  <c r="X25" i="2"/>
  <c r="M27" i="3"/>
  <c r="J28" i="3"/>
  <c r="J27" i="3"/>
  <c r="J26" i="3"/>
  <c r="H28" i="3"/>
  <c r="L27" i="3"/>
  <c r="L28" i="3"/>
  <c r="H27" i="3"/>
  <c r="L26" i="3"/>
  <c r="M7" i="3"/>
  <c r="M8" i="3"/>
  <c r="M9" i="3"/>
  <c r="M16" i="3"/>
  <c r="M17" i="3"/>
  <c r="M18" i="3"/>
  <c r="M19" i="3"/>
  <c r="M6" i="3"/>
  <c r="Q35" i="2"/>
  <c r="R35" i="2"/>
  <c r="Q36" i="2"/>
  <c r="R36" i="2"/>
  <c r="R37" i="2"/>
  <c r="Q38" i="2"/>
  <c r="R38" i="2"/>
  <c r="Q39" i="2"/>
  <c r="R39" i="2"/>
  <c r="Q40" i="2"/>
  <c r="R40" i="2"/>
  <c r="Q41" i="2"/>
  <c r="R41" i="2"/>
  <c r="R42" i="2"/>
  <c r="Q43" i="2"/>
  <c r="R43" i="2"/>
  <c r="R44" i="2"/>
  <c r="Q45" i="2"/>
  <c r="R45" i="2"/>
  <c r="Q46" i="2"/>
  <c r="R46" i="2"/>
  <c r="AC26" i="2"/>
  <c r="AC27" i="2"/>
  <c r="X27" i="2"/>
  <c r="AA27" i="2"/>
  <c r="AA26" i="2"/>
  <c r="Z27" i="2"/>
  <c r="Z26" i="2"/>
  <c r="X26" i="2"/>
  <c r="O61" i="2"/>
  <c r="P61" i="2"/>
  <c r="O67" i="2"/>
  <c r="P67" i="2"/>
  <c r="O73" i="2"/>
  <c r="P73" i="2"/>
  <c r="O79" i="2"/>
  <c r="P79" i="2"/>
  <c r="O85" i="2"/>
  <c r="P85" i="2"/>
  <c r="O91" i="2"/>
  <c r="P91" i="2"/>
  <c r="Q62" i="2"/>
  <c r="R62" i="2"/>
  <c r="W62" i="2" s="1"/>
  <c r="AB62" i="2" s="1"/>
  <c r="Q63" i="2"/>
  <c r="R63" i="2"/>
  <c r="X62" i="2" s="1"/>
  <c r="AC62" i="2" s="1"/>
  <c r="Q64" i="2"/>
  <c r="R64" i="2"/>
  <c r="Q65" i="2"/>
  <c r="R65" i="2"/>
  <c r="Q66" i="2"/>
  <c r="R66" i="2"/>
  <c r="Q67" i="2"/>
  <c r="R67" i="2"/>
  <c r="V63" i="2" s="1"/>
  <c r="AA63" i="2" s="1"/>
  <c r="Q68" i="2"/>
  <c r="R68" i="2"/>
  <c r="W63" i="2" s="1"/>
  <c r="AB63" i="2" s="1"/>
  <c r="Q69" i="2"/>
  <c r="R69" i="2"/>
  <c r="X63" i="2" s="1"/>
  <c r="AC63" i="2" s="1"/>
  <c r="Q70" i="2"/>
  <c r="R70" i="2"/>
  <c r="Q71" i="2"/>
  <c r="R71" i="2"/>
  <c r="Q72" i="2"/>
  <c r="R72" i="2"/>
  <c r="Q73" i="2"/>
  <c r="R73" i="2"/>
  <c r="V64" i="2" s="1"/>
  <c r="AA64" i="2" s="1"/>
  <c r="Q74" i="2"/>
  <c r="R74" i="2"/>
  <c r="W64" i="2" s="1"/>
  <c r="AB64" i="2" s="1"/>
  <c r="Q75" i="2"/>
  <c r="R75" i="2"/>
  <c r="X64" i="2" s="1"/>
  <c r="AC64" i="2" s="1"/>
  <c r="Q76" i="2"/>
  <c r="R76" i="2"/>
  <c r="Q77" i="2"/>
  <c r="R77" i="2"/>
  <c r="Q78" i="2"/>
  <c r="R78" i="2"/>
  <c r="Q79" i="2"/>
  <c r="R79" i="2"/>
  <c r="V65" i="2" s="1"/>
  <c r="AA65" i="2" s="1"/>
  <c r="Q80" i="2"/>
  <c r="R80" i="2"/>
  <c r="Q81" i="2"/>
  <c r="R81" i="2"/>
  <c r="X65" i="2" s="1"/>
  <c r="AC65" i="2" s="1"/>
  <c r="Q82" i="2"/>
  <c r="R82" i="2"/>
  <c r="Q83" i="2"/>
  <c r="R83" i="2"/>
  <c r="Q84" i="2"/>
  <c r="R84" i="2"/>
  <c r="Q85" i="2"/>
  <c r="R85" i="2"/>
  <c r="V66" i="2" s="1"/>
  <c r="AA66" i="2" s="1"/>
  <c r="Q86" i="2"/>
  <c r="R86" i="2"/>
  <c r="W66" i="2" s="1"/>
  <c r="AB66" i="2" s="1"/>
  <c r="Q87" i="2"/>
  <c r="R87" i="2"/>
  <c r="X66" i="2" s="1"/>
  <c r="AC66" i="2" s="1"/>
  <c r="Q88" i="2"/>
  <c r="R88" i="2"/>
  <c r="Q89" i="2"/>
  <c r="R89" i="2"/>
  <c r="Q90" i="2"/>
  <c r="R90" i="2"/>
  <c r="Q91" i="2"/>
  <c r="R91" i="2"/>
  <c r="V67" i="2" s="1"/>
  <c r="AA67" i="2" s="1"/>
  <c r="Q92" i="2"/>
  <c r="R92" i="2"/>
  <c r="W67" i="2" s="1"/>
  <c r="AB67" i="2" s="1"/>
  <c r="Q93" i="2"/>
  <c r="R93" i="2"/>
  <c r="X67" i="2" s="1"/>
  <c r="AC67" i="2" s="1"/>
  <c r="Q94" i="2"/>
  <c r="R94" i="2"/>
  <c r="Q95" i="2"/>
  <c r="R95" i="2"/>
  <c r="Q96" i="2"/>
  <c r="R96" i="2"/>
  <c r="AE56" i="2"/>
  <c r="AF56" i="2"/>
  <c r="AG56" i="2"/>
  <c r="AE57" i="2"/>
  <c r="AF57" i="2"/>
  <c r="AG57" i="2"/>
  <c r="AE58" i="2"/>
  <c r="AF58" i="2"/>
  <c r="AG58" i="2"/>
  <c r="AE59" i="2"/>
  <c r="AF59" i="2"/>
  <c r="AG59" i="2"/>
  <c r="AG55" i="2"/>
  <c r="AF55" i="2"/>
  <c r="AE55" i="2"/>
  <c r="M96" i="2"/>
  <c r="M95" i="2"/>
  <c r="M94" i="2"/>
  <c r="M93" i="2"/>
  <c r="M92" i="2"/>
  <c r="M91" i="2"/>
  <c r="M90" i="2"/>
  <c r="M89" i="2"/>
  <c r="M88" i="2"/>
  <c r="M87" i="2"/>
  <c r="M86" i="2"/>
  <c r="M85" i="2"/>
  <c r="M84" i="2"/>
  <c r="M83" i="2"/>
  <c r="M82" i="2"/>
  <c r="M81" i="2"/>
  <c r="M80" i="2"/>
  <c r="M79" i="2"/>
  <c r="M78" i="2"/>
  <c r="M77" i="2"/>
  <c r="M76" i="2"/>
  <c r="M75" i="2"/>
  <c r="M74" i="2"/>
  <c r="M73" i="2"/>
  <c r="M72" i="2"/>
  <c r="M71" i="2"/>
  <c r="M70" i="2"/>
  <c r="M69" i="2"/>
  <c r="M68" i="2"/>
  <c r="M67" i="2"/>
  <c r="W65" i="2"/>
  <c r="AB65" i="2" s="1"/>
  <c r="M63" i="2"/>
  <c r="M62" i="2"/>
  <c r="R61" i="2"/>
  <c r="V62" i="2" s="1"/>
  <c r="AA62" i="2" s="1"/>
  <c r="Q61" i="2"/>
  <c r="M61" i="2"/>
  <c r="R60" i="2"/>
  <c r="X59" i="2" s="1"/>
  <c r="AC59" i="2" s="1"/>
  <c r="Q60" i="2"/>
  <c r="M60" i="2"/>
  <c r="R59" i="2"/>
  <c r="W59" i="2" s="1"/>
  <c r="AB59" i="2" s="1"/>
  <c r="Q59" i="2"/>
  <c r="M59" i="2"/>
  <c r="R58" i="2"/>
  <c r="V59" i="2" s="1"/>
  <c r="AA59" i="2" s="1"/>
  <c r="Q58" i="2"/>
  <c r="P58" i="2"/>
  <c r="O58" i="2"/>
  <c r="M58" i="2"/>
  <c r="Y25" i="2" s="1"/>
  <c r="R57" i="2"/>
  <c r="X58" i="2" s="1"/>
  <c r="AC58" i="2" s="1"/>
  <c r="Q57" i="2"/>
  <c r="M57" i="2"/>
  <c r="R56" i="2"/>
  <c r="W58" i="2" s="1"/>
  <c r="AB58" i="2" s="1"/>
  <c r="Q56" i="2"/>
  <c r="M56" i="2"/>
  <c r="R55" i="2"/>
  <c r="V58" i="2" s="1"/>
  <c r="AA58" i="2" s="1"/>
  <c r="Q55" i="2"/>
  <c r="P55" i="2"/>
  <c r="O55" i="2"/>
  <c r="M55" i="2"/>
  <c r="R54" i="2"/>
  <c r="X57" i="2" s="1"/>
  <c r="X61" i="2" s="1"/>
  <c r="AC61" i="2" s="1"/>
  <c r="Q54" i="2"/>
  <c r="M54" i="2"/>
  <c r="R53" i="2"/>
  <c r="W57" i="2" s="1"/>
  <c r="W61" i="2" s="1"/>
  <c r="AB61" i="2" s="1"/>
  <c r="Q53" i="2"/>
  <c r="M53" i="2"/>
  <c r="R52" i="2"/>
  <c r="V57" i="2" s="1"/>
  <c r="AA57" i="2" s="1"/>
  <c r="Q52" i="2"/>
  <c r="P52" i="2"/>
  <c r="O52" i="2"/>
  <c r="M52" i="2"/>
  <c r="R51" i="2"/>
  <c r="X56" i="2" s="1"/>
  <c r="AC56" i="2" s="1"/>
  <c r="Q51" i="2"/>
  <c r="M51" i="2"/>
  <c r="R50" i="2"/>
  <c r="W56" i="2" s="1"/>
  <c r="AB56" i="2" s="1"/>
  <c r="Q50" i="2"/>
  <c r="M50" i="2"/>
  <c r="R49" i="2"/>
  <c r="V56" i="2" s="1"/>
  <c r="AA56" i="2" s="1"/>
  <c r="Q49" i="2"/>
  <c r="P49" i="2"/>
  <c r="O49" i="2"/>
  <c r="M49" i="2"/>
  <c r="R48" i="2"/>
  <c r="X55" i="2" s="1"/>
  <c r="AC55" i="2" s="1"/>
  <c r="Q48" i="2"/>
  <c r="M48" i="2"/>
  <c r="R47" i="2"/>
  <c r="W55" i="2" s="1"/>
  <c r="AB55" i="2" s="1"/>
  <c r="Q47" i="2"/>
  <c r="M47" i="2"/>
  <c r="V55" i="2"/>
  <c r="AA55" i="2" s="1"/>
  <c r="P46" i="2"/>
  <c r="O46" i="2"/>
  <c r="M46" i="2"/>
  <c r="AB27" i="2"/>
  <c r="P43" i="2"/>
  <c r="P41" i="2"/>
  <c r="P38" i="2"/>
  <c r="P36" i="2"/>
  <c r="R34" i="2"/>
  <c r="R33" i="2"/>
  <c r="AB26" i="2" s="1"/>
  <c r="Q33" i="2"/>
  <c r="P33" i="2"/>
  <c r="M33" i="2"/>
  <c r="Y26" i="2" s="1"/>
  <c r="R32" i="2"/>
  <c r="N32" i="2"/>
  <c r="O31" i="2" s="1"/>
  <c r="R31" i="2"/>
  <c r="Q31" i="2"/>
  <c r="P31" i="2"/>
  <c r="M31" i="2"/>
  <c r="R30" i="2"/>
  <c r="N30" i="2"/>
  <c r="Q30" i="2" s="1"/>
  <c r="R29" i="2"/>
  <c r="Q29" i="2"/>
  <c r="P29" i="2"/>
  <c r="M29" i="2"/>
  <c r="R28" i="2"/>
  <c r="N28" i="2"/>
  <c r="O27" i="2" s="1"/>
  <c r="R27" i="2"/>
  <c r="Q27" i="2"/>
  <c r="P27" i="2"/>
  <c r="M27" i="2"/>
  <c r="R26" i="2"/>
  <c r="N26" i="2"/>
  <c r="Q26" i="2" s="1"/>
  <c r="R25" i="2"/>
  <c r="Q25" i="2"/>
  <c r="P25" i="2"/>
  <c r="M25" i="2"/>
  <c r="R24" i="2"/>
  <c r="N24" i="2"/>
  <c r="O23" i="2" s="1"/>
  <c r="R23" i="2"/>
  <c r="Q23" i="2"/>
  <c r="P23" i="2"/>
  <c r="M23" i="2"/>
  <c r="R22" i="2"/>
  <c r="N22" i="2"/>
  <c r="Q22" i="2" s="1"/>
  <c r="R21" i="2"/>
  <c r="Q21" i="2"/>
  <c r="P21" i="2"/>
  <c r="M21" i="2"/>
  <c r="R20" i="2"/>
  <c r="N20" i="2"/>
  <c r="O19" i="2" s="1"/>
  <c r="R19" i="2"/>
  <c r="Q19" i="2"/>
  <c r="P19" i="2"/>
  <c r="M19" i="2"/>
  <c r="R18" i="2"/>
  <c r="N18" i="2"/>
  <c r="Q18" i="2" s="1"/>
  <c r="R17" i="2"/>
  <c r="Q17" i="2"/>
  <c r="P17" i="2"/>
  <c r="M17" i="2"/>
  <c r="R16" i="2"/>
  <c r="N16" i="2"/>
  <c r="O15" i="2" s="1"/>
  <c r="R15" i="2"/>
  <c r="Q15" i="2"/>
  <c r="P15" i="2"/>
  <c r="M15" i="2"/>
  <c r="R14" i="2"/>
  <c r="N14" i="2"/>
  <c r="Q14" i="2" s="1"/>
  <c r="R13" i="2"/>
  <c r="Q13" i="2"/>
  <c r="P13" i="2"/>
  <c r="M13" i="2"/>
  <c r="R12" i="2"/>
  <c r="Q12" i="2"/>
  <c r="M12" i="2"/>
  <c r="R11" i="2"/>
  <c r="N11" i="2"/>
  <c r="Q11" i="2" s="1"/>
  <c r="R10" i="2"/>
  <c r="Q10" i="2"/>
  <c r="M10" i="2"/>
  <c r="R9" i="2"/>
  <c r="N9" i="2"/>
  <c r="Q9" i="2" s="1"/>
  <c r="R8" i="2"/>
  <c r="Q8" i="2"/>
  <c r="M8" i="2"/>
  <c r="R7" i="2"/>
  <c r="N7" i="2"/>
  <c r="Q7" i="2" s="1"/>
  <c r="R6" i="2"/>
  <c r="Q6" i="2"/>
  <c r="M6" i="2"/>
  <c r="R5" i="2"/>
  <c r="N5" i="2"/>
  <c r="O4" i="2" s="1"/>
  <c r="R4" i="2"/>
  <c r="Q4" i="2"/>
  <c r="M4" i="2"/>
  <c r="R3" i="2"/>
  <c r="N3" i="2"/>
  <c r="Q3" i="2" s="1"/>
  <c r="R2" i="2"/>
  <c r="Q2" i="2"/>
  <c r="M2" i="2"/>
  <c r="E22" i="1"/>
  <c r="E20" i="1"/>
  <c r="E8" i="1"/>
  <c r="F7" i="1"/>
  <c r="E7" i="1"/>
  <c r="E6" i="1"/>
  <c r="F5" i="1"/>
  <c r="E5" i="1"/>
  <c r="AB25" i="2" l="1"/>
  <c r="O2" i="2"/>
  <c r="Q5" i="2"/>
  <c r="Q28" i="2"/>
  <c r="Q24" i="2"/>
  <c r="Q32" i="2"/>
  <c r="O13" i="2"/>
  <c r="O21" i="2"/>
  <c r="O25" i="2"/>
  <c r="O29" i="2"/>
  <c r="O38" i="2"/>
  <c r="O8" i="2"/>
  <c r="O17" i="2"/>
  <c r="Q20" i="2"/>
  <c r="Q16" i="2"/>
  <c r="O6" i="2"/>
  <c r="O10" i="2"/>
  <c r="V61" i="2"/>
  <c r="AA61" i="2" s="1"/>
  <c r="AC57" i="2"/>
  <c r="AB57" i="2"/>
  <c r="N37" i="2"/>
  <c r="Q37" i="2" s="1"/>
  <c r="N44" i="2"/>
  <c r="Q44" i="2" s="1"/>
  <c r="O43" i="2"/>
  <c r="N42" i="2"/>
  <c r="Q42" i="2" s="1"/>
  <c r="N34" i="2"/>
  <c r="O33" i="2" s="1"/>
  <c r="Q34" i="2"/>
  <c r="O41" i="2" l="1"/>
  <c r="O36" i="2"/>
</calcChain>
</file>

<file path=xl/sharedStrings.xml><?xml version="1.0" encoding="utf-8"?>
<sst xmlns="http://schemas.openxmlformats.org/spreadsheetml/2006/main" count="170" uniqueCount="107">
  <si>
    <t>几何与层数</t>
    <phoneticPr fontId="1" type="noConversion"/>
  </si>
  <si>
    <t>Date</t>
    <phoneticPr fontId="1" type="noConversion"/>
  </si>
  <si>
    <t>编译器：ifort-O3</t>
    <phoneticPr fontId="1" type="noConversion"/>
  </si>
  <si>
    <t>lvl3</t>
    <phoneticPr fontId="1" type="noConversion"/>
  </si>
  <si>
    <t>lvl5</t>
    <phoneticPr fontId="1" type="noConversion"/>
  </si>
  <si>
    <t>cIntersectMethod</t>
    <phoneticPr fontId="1" type="noConversion"/>
  </si>
  <si>
    <t>优化内容</t>
    <phoneticPr fontId="1" type="noConversion"/>
  </si>
  <si>
    <t>ncells</t>
    <phoneticPr fontId="1" type="noConversion"/>
  </si>
  <si>
    <t>body-1016element-domain(-150~+150)-nCell(20,20,20)</t>
    <phoneticPr fontId="1" type="noConversion"/>
  </si>
  <si>
    <t>在射线相交法中引入bbox快速判断，并修改染色算法底层逻辑</t>
    <phoneticPr fontId="1" type="noConversion"/>
  </si>
  <si>
    <t>Total time</t>
    <phoneticPr fontId="1" type="noConversion"/>
  </si>
  <si>
    <t>\</t>
    <phoneticPr fontId="1" type="noConversion"/>
  </si>
  <si>
    <t>PA time</t>
    <phoneticPr fontId="1" type="noConversion"/>
  </si>
  <si>
    <t>380A-35124element-domain(-40,-1.7,3,-26,1.7,5.5)-nCell(100,40,40)</t>
    <phoneticPr fontId="1" type="noConversion"/>
  </si>
  <si>
    <t>-</t>
    <phoneticPr fontId="1" type="noConversion"/>
  </si>
  <si>
    <t>RayCast优化，若射线相交次数为0，则直接判断为外部单元；若两次射线结果一致，则不进行第三次判断。</t>
    <phoneticPr fontId="1" type="noConversion"/>
  </si>
  <si>
    <t>RayCast优化，cshift语句移动到递归外部，减少循环次数</t>
    <phoneticPr fontId="1" type="noConversion"/>
  </si>
  <si>
    <t>AABB算法修复少数相交单元未识别的问题</t>
    <phoneticPr fontId="1" type="noConversion"/>
  </si>
  <si>
    <t>2-优化前</t>
    <phoneticPr fontId="1" type="noConversion"/>
  </si>
  <si>
    <t>优化MollerTrumbore模块-去除平行判断</t>
    <phoneticPr fontId="1" type="noConversion"/>
  </si>
  <si>
    <t>优化RayCast模块-增加点在bbox前后判断</t>
    <phoneticPr fontId="1" type="noConversion"/>
  </si>
  <si>
    <t>优化RayCast模块-引入kdtree判断，计算量化为O(log2)</t>
    <phoneticPr fontId="1" type="noConversion"/>
  </si>
  <si>
    <t>4-注释MollerTrumbore</t>
    <phoneticPr fontId="1" type="noConversion"/>
  </si>
  <si>
    <t>pantograph-2254812element-domain(-40,-1.7,3,-26,1.7,5.5)-nCell(100,40,40)</t>
    <phoneticPr fontId="1" type="noConversion"/>
  </si>
  <si>
    <t>Read</t>
    <phoneticPr fontId="1" type="noConversion"/>
  </si>
  <si>
    <t>PA%</t>
    <phoneticPr fontId="1" type="noConversion"/>
  </si>
  <si>
    <t>30*30*20</t>
    <phoneticPr fontId="1" type="noConversion"/>
  </si>
  <si>
    <r>
      <rPr>
        <sz val="10"/>
        <color rgb="FF000000"/>
        <rFont val="宋体"/>
        <family val="3"/>
        <charset val="134"/>
      </rPr>
      <t>模型</t>
    </r>
  </si>
  <si>
    <r>
      <rPr>
        <sz val="10"/>
        <color rgb="FF000000"/>
        <rFont val="宋体"/>
        <family val="3"/>
        <charset val="134"/>
      </rPr>
      <t>空间网格数量</t>
    </r>
  </si>
  <si>
    <r>
      <rPr>
        <sz val="10"/>
        <color rgb="FF000000"/>
        <rFont val="宋体"/>
        <family val="3"/>
        <charset val="134"/>
      </rPr>
      <t>物面网格加密层数</t>
    </r>
  </si>
  <si>
    <r>
      <rPr>
        <sz val="10"/>
        <color rgb="FF000000"/>
        <rFont val="宋体"/>
        <family val="3"/>
        <charset val="134"/>
      </rPr>
      <t>总时间（</t>
    </r>
    <r>
      <rPr>
        <sz val="10"/>
        <color rgb="FF000000"/>
        <rFont val="Times New Roman"/>
        <family val="1"/>
      </rPr>
      <t>s</t>
    </r>
    <r>
      <rPr>
        <sz val="10"/>
        <color rgb="FF000000"/>
        <rFont val="宋体"/>
        <family val="3"/>
        <charset val="134"/>
      </rPr>
      <t>）</t>
    </r>
    <phoneticPr fontId="1" type="noConversion"/>
  </si>
  <si>
    <r>
      <rPr>
        <sz val="10"/>
        <color rgb="FF000000"/>
        <rFont val="宋体"/>
        <family val="3"/>
        <charset val="134"/>
      </rPr>
      <t>网格生成时间（</t>
    </r>
    <r>
      <rPr>
        <sz val="10"/>
        <color rgb="FF000000"/>
        <rFont val="Times New Roman"/>
        <family val="1"/>
      </rPr>
      <t>s</t>
    </r>
    <r>
      <rPr>
        <sz val="10"/>
        <color rgb="FF000000"/>
        <rFont val="宋体"/>
        <family val="3"/>
        <charset val="134"/>
      </rPr>
      <t>）</t>
    </r>
  </si>
  <si>
    <r>
      <rPr>
        <sz val="10"/>
        <color rgb="FF000000"/>
        <rFont val="宋体"/>
        <family val="3"/>
        <charset val="134"/>
      </rPr>
      <t>第一次邻居查询时间（</t>
    </r>
    <r>
      <rPr>
        <sz val="10"/>
        <color rgb="FF000000"/>
        <rFont val="Times New Roman"/>
        <family val="1"/>
      </rPr>
      <t>s</t>
    </r>
    <r>
      <rPr>
        <sz val="10"/>
        <color rgb="FF000000"/>
        <rFont val="宋体"/>
        <family val="3"/>
        <charset val="134"/>
      </rPr>
      <t>）</t>
    </r>
    <phoneticPr fontId="1" type="noConversion"/>
  </si>
  <si>
    <r>
      <rPr>
        <sz val="10"/>
        <color rgb="FF000000"/>
        <rFont val="宋体"/>
        <family val="3"/>
        <charset val="134"/>
      </rPr>
      <t>光顺时间（</t>
    </r>
    <r>
      <rPr>
        <sz val="10"/>
        <color rgb="FF000000"/>
        <rFont val="Times New Roman"/>
        <family val="1"/>
      </rPr>
      <t>s</t>
    </r>
    <r>
      <rPr>
        <sz val="10"/>
        <color rgb="FF000000"/>
        <rFont val="宋体"/>
        <family val="3"/>
        <charset val="134"/>
      </rPr>
      <t>）</t>
    </r>
    <phoneticPr fontId="1" type="noConversion"/>
  </si>
  <si>
    <r>
      <rPr>
        <sz val="10"/>
        <color rgb="FF000000"/>
        <rFont val="宋体"/>
        <family val="3"/>
        <charset val="134"/>
      </rPr>
      <t>相交判断时间（</t>
    </r>
    <r>
      <rPr>
        <sz val="10"/>
        <color rgb="FF000000"/>
        <rFont val="Times New Roman"/>
        <family val="1"/>
      </rPr>
      <t>s</t>
    </r>
    <r>
      <rPr>
        <sz val="10"/>
        <color rgb="FF000000"/>
        <rFont val="宋体"/>
        <family val="3"/>
        <charset val="134"/>
      </rPr>
      <t>）</t>
    </r>
    <phoneticPr fontId="1" type="noConversion"/>
  </si>
  <si>
    <r>
      <rPr>
        <sz val="10"/>
        <color rgb="FF000000"/>
        <rFont val="宋体"/>
        <family val="3"/>
        <charset val="134"/>
      </rPr>
      <t>内外判断时间（</t>
    </r>
    <r>
      <rPr>
        <sz val="10"/>
        <color rgb="FF000000"/>
        <rFont val="Times New Roman"/>
        <family val="1"/>
      </rPr>
      <t>s</t>
    </r>
    <r>
      <rPr>
        <sz val="10"/>
        <color rgb="FF000000"/>
        <rFont val="宋体"/>
        <family val="3"/>
        <charset val="134"/>
      </rPr>
      <t>）</t>
    </r>
  </si>
  <si>
    <r>
      <rPr>
        <sz val="10"/>
        <color rgb="FF000000"/>
        <rFont val="宋体"/>
        <family val="3"/>
        <charset val="134"/>
      </rPr>
      <t>圆球</t>
    </r>
  </si>
  <si>
    <r>
      <rPr>
        <sz val="10"/>
        <color rgb="FF000000"/>
        <rFont val="宋体"/>
        <family val="3"/>
        <charset val="134"/>
      </rPr>
      <t>高速列车受电弓</t>
    </r>
    <phoneticPr fontId="1" type="noConversion"/>
  </si>
  <si>
    <r>
      <rPr>
        <sz val="10"/>
        <color rgb="FF000000"/>
        <rFont val="宋体"/>
        <family val="3"/>
        <charset val="134"/>
      </rPr>
      <t>高速列车转向架</t>
    </r>
    <phoneticPr fontId="1" type="noConversion"/>
  </si>
  <si>
    <t>20*20*20</t>
    <phoneticPr fontId="1" type="noConversion"/>
  </si>
  <si>
    <t>25*10*10</t>
    <phoneticPr fontId="1" type="noConversion"/>
  </si>
  <si>
    <r>
      <rPr>
        <sz val="10"/>
        <color rgb="FF000000"/>
        <rFont val="宋体"/>
        <family val="3"/>
        <charset val="134"/>
      </rPr>
      <t>物面网格数量</t>
    </r>
    <phoneticPr fontId="1" type="noConversion"/>
  </si>
  <si>
    <r>
      <rPr>
        <sz val="10"/>
        <color rgb="FF000000"/>
        <rFont val="宋体"/>
        <family val="3"/>
        <charset val="134"/>
      </rPr>
      <t>内外判断优化效果</t>
    </r>
    <phoneticPr fontId="1" type="noConversion"/>
  </si>
  <si>
    <r>
      <rPr>
        <sz val="10"/>
        <color theme="1"/>
        <rFont val="宋体"/>
        <family val="3"/>
        <charset val="134"/>
      </rPr>
      <t>网格生成优化效果</t>
    </r>
    <phoneticPr fontId="1" type="noConversion"/>
  </si>
  <si>
    <r>
      <rPr>
        <sz val="10"/>
        <color theme="1"/>
        <rFont val="宋体"/>
        <family val="3"/>
        <charset val="134"/>
      </rPr>
      <t>重写染色算法</t>
    </r>
    <phoneticPr fontId="1" type="noConversion"/>
  </si>
  <si>
    <r>
      <rPr>
        <sz val="10"/>
        <color theme="1"/>
        <rFont val="宋体"/>
        <family val="3"/>
        <charset val="134"/>
      </rPr>
      <t>相交单元内外判断</t>
    </r>
    <phoneticPr fontId="1" type="noConversion"/>
  </si>
  <si>
    <r>
      <rPr>
        <sz val="10"/>
        <color theme="1"/>
        <rFont val="宋体"/>
        <family val="3"/>
        <charset val="134"/>
      </rPr>
      <t>只对新网格及其邻居进行邻居查询</t>
    </r>
    <phoneticPr fontId="1" type="noConversion"/>
  </si>
  <si>
    <t>方法</t>
    <phoneticPr fontId="1" type="noConversion"/>
  </si>
  <si>
    <t>背景网格数量</t>
    <phoneticPr fontId="1" type="noConversion"/>
  </si>
  <si>
    <t>改进非染色法运算效率，将inout判断提到与染色法相同的位置，减少每次加密对网格的inout判断</t>
    <phoneticPr fontId="1" type="noConversion"/>
  </si>
  <si>
    <r>
      <rPr>
        <sz val="10"/>
        <color theme="1"/>
        <rFont val="宋体"/>
        <family val="3"/>
        <charset val="134"/>
      </rPr>
      <t>内外判断</t>
    </r>
    <r>
      <rPr>
        <sz val="10"/>
        <color theme="1"/>
        <rFont val="Times New Roman"/>
        <family val="1"/>
      </rPr>
      <t>time/n</t>
    </r>
    <phoneticPr fontId="1" type="noConversion"/>
  </si>
  <si>
    <t>网格生成time/n</t>
    <phoneticPr fontId="1" type="noConversion"/>
  </si>
  <si>
    <t>AABB+KDT</t>
    <phoneticPr fontId="1" type="noConversion"/>
  </si>
  <si>
    <t>AABB+KDT+DP</t>
    <phoneticPr fontId="1" type="noConversion"/>
  </si>
  <si>
    <t>AABB+KDT+DP+PA</t>
    <phoneticPr fontId="1" type="noConversion"/>
  </si>
  <si>
    <t>加密层数</t>
  </si>
  <si>
    <t>8 2744</t>
  </si>
  <si>
    <t>225 4812</t>
  </si>
  <si>
    <t>Geometry</t>
    <phoneticPr fontId="1" type="noConversion"/>
  </si>
  <si>
    <t>Ntri</t>
    <phoneticPr fontId="1" type="noConversion"/>
  </si>
  <si>
    <t>Ncells</t>
    <phoneticPr fontId="1" type="noConversion"/>
  </si>
  <si>
    <t>sphere</t>
    <phoneticPr fontId="1" type="noConversion"/>
  </si>
  <si>
    <t>pantograph</t>
    <phoneticPr fontId="1" type="noConversion"/>
  </si>
  <si>
    <t>bogie</t>
    <phoneticPr fontId="1" type="noConversion"/>
  </si>
  <si>
    <t>Ttotal/Ncells (secx10-6)</t>
    <phoneticPr fontId="1" type="noConversion"/>
  </si>
  <si>
    <t>Ttotal (sec)</t>
    <phoneticPr fontId="1" type="noConversion"/>
  </si>
  <si>
    <t>Tinout (sec)</t>
    <phoneticPr fontId="1" type="noConversion"/>
  </si>
  <si>
    <t>Tcross (sec)</t>
    <phoneticPr fontId="1" type="noConversion"/>
  </si>
  <si>
    <t>TAABB+KDT+DP/TAABB+KDT+DP+PA</t>
    <phoneticPr fontId="1" type="noConversion"/>
  </si>
  <si>
    <t>TAABB+KDT/TAABB+KDT+DP+PA</t>
    <phoneticPr fontId="1" type="noConversion"/>
  </si>
  <si>
    <t>M</t>
    <phoneticPr fontId="1" type="noConversion"/>
  </si>
  <si>
    <t>N</t>
    <phoneticPr fontId="1" type="noConversion"/>
  </si>
  <si>
    <t>T/s</t>
    <phoneticPr fontId="1" type="noConversion"/>
  </si>
  <si>
    <t>胡偶. 可压缩复杂流动笛卡尔网格方法研究及应用[D].</t>
    <phoneticPr fontId="1" type="noConversion"/>
  </si>
  <si>
    <t>T/Ncell</t>
    <phoneticPr fontId="1" type="noConversion"/>
  </si>
  <si>
    <t>发表时间</t>
    <phoneticPr fontId="1" type="noConversion"/>
  </si>
  <si>
    <t>论文名称</t>
    <phoneticPr fontId="1" type="noConversion"/>
  </si>
  <si>
    <t>计算条件</t>
    <phoneticPr fontId="1" type="noConversion"/>
  </si>
  <si>
    <t>Intel Core 2 Duo CPU E7500 2.93GHz 4GB</t>
    <phoneticPr fontId="1" type="noConversion"/>
  </si>
  <si>
    <t>Intel Xeon CPU E5506 2.13GHz 24GB</t>
    <phoneticPr fontId="1" type="noConversion"/>
  </si>
  <si>
    <t>2017.4.3</t>
    <phoneticPr fontId="1" type="noConversion"/>
  </si>
  <si>
    <t>收稿时间</t>
    <phoneticPr fontId="1" type="noConversion"/>
  </si>
  <si>
    <t>Francesco Capizzano</t>
    <phoneticPr fontId="1" type="noConversion"/>
  </si>
  <si>
    <t>Linux single-core Intel Xeon 2.6GHz</t>
    <phoneticPr fontId="1" type="noConversion"/>
  </si>
  <si>
    <t>Mcells</t>
    <phoneticPr fontId="1" type="noConversion"/>
  </si>
  <si>
    <t>CPUtime</t>
    <phoneticPr fontId="1" type="noConversion"/>
  </si>
  <si>
    <t>Nakahashi</t>
    <phoneticPr fontId="1" type="noConversion"/>
  </si>
  <si>
    <t>cubes</t>
    <phoneticPr fontId="1" type="noConversion"/>
  </si>
  <si>
    <t>cells</t>
    <phoneticPr fontId="1" type="noConversion"/>
  </si>
  <si>
    <t>cell/sec</t>
    <phoneticPr fontId="1" type="noConversion"/>
  </si>
  <si>
    <t>MemoryCube</t>
    <phoneticPr fontId="1" type="noConversion"/>
  </si>
  <si>
    <t>MemoryCell</t>
    <phoneticPr fontId="1" type="noConversion"/>
  </si>
  <si>
    <t>373MB</t>
    <phoneticPr fontId="1" type="noConversion"/>
  </si>
  <si>
    <t>980MB</t>
    <phoneticPr fontId="1" type="noConversion"/>
  </si>
  <si>
    <t>Tcube</t>
    <phoneticPr fontId="1" type="noConversion"/>
  </si>
  <si>
    <t>AABBtime/n</t>
  </si>
  <si>
    <t>AABBtime/n</t>
    <phoneticPr fontId="1" type="noConversion"/>
  </si>
  <si>
    <t>内外判断time/n</t>
  </si>
  <si>
    <t>网格生成time/n</t>
  </si>
  <si>
    <t>网格生成时间</t>
    <phoneticPr fontId="1" type="noConversion"/>
  </si>
  <si>
    <t>inout</t>
    <phoneticPr fontId="1" type="noConversion"/>
  </si>
  <si>
    <t>cross</t>
    <phoneticPr fontId="1" type="noConversion"/>
  </si>
  <si>
    <t>others</t>
    <phoneticPr fontId="1" type="noConversion"/>
  </si>
  <si>
    <t>new</t>
    <phoneticPr fontId="1" type="noConversion"/>
  </si>
  <si>
    <t>old*10^3</t>
    <phoneticPr fontId="1" type="noConversion"/>
  </si>
  <si>
    <t>2021.7.27</t>
    <phoneticPr fontId="1" type="noConversion"/>
  </si>
  <si>
    <r>
      <t>FTT</t>
    </r>
    <r>
      <rPr>
        <sz val="10"/>
        <color theme="1"/>
        <rFont val="宋体"/>
        <family val="3"/>
        <charset val="134"/>
      </rPr>
      <t>，正确的最小距离查询，正确的</t>
    </r>
    <r>
      <rPr>
        <sz val="10"/>
        <color theme="1"/>
        <rFont val="Times New Roman"/>
        <family val="1"/>
      </rPr>
      <t>DP</t>
    </r>
    <r>
      <rPr>
        <sz val="10"/>
        <color theme="1"/>
        <rFont val="宋体"/>
        <family val="3"/>
        <charset val="134"/>
      </rPr>
      <t>算法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</si>
</sst>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76" formatCode="0.0"/>
    <numFmt numFmtId="177" formatCode="0.00_ "/>
    <numFmt numFmtId="178" formatCode="_ * #,##0_ ;_ * \-#,##0_ ;_ * &quot;-&quot;??_ ;_ @_ "/>
  </numFmts>
  <fonts count="1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sz val="10"/>
      <color rgb="FF000000"/>
      <name val="宋体"/>
      <family val="3"/>
      <charset val="134"/>
    </font>
    <font>
      <sz val="10"/>
      <color rgb="FF000000"/>
      <name val="Times New Roman"/>
      <family val="1"/>
    </font>
    <font>
      <sz val="10"/>
      <color theme="1"/>
      <name val="Times New Roman"/>
      <family val="1"/>
    </font>
    <font>
      <sz val="10"/>
      <color theme="1"/>
      <name val="宋体"/>
      <family val="3"/>
      <charset val="134"/>
    </font>
    <font>
      <sz val="10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3"/>
      <charset val="134"/>
    </font>
    <font>
      <sz val="9"/>
      <color rgb="FF000000"/>
      <name val="宋体"/>
      <family val="3"/>
      <charset val="134"/>
    </font>
    <font>
      <sz val="9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</cellStyleXfs>
  <cellXfs count="120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10" fontId="0" fillId="0" borderId="0" xfId="0" applyNumberFormat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4" fillId="0" borderId="0" xfId="0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4" fontId="8" fillId="0" borderId="0" xfId="0" applyNumberFormat="1" applyFont="1" applyBorder="1" applyAlignment="1">
      <alignment horizontal="center" vertical="center"/>
    </xf>
    <xf numFmtId="9" fontId="5" fillId="2" borderId="0" xfId="1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9" fontId="5" fillId="2" borderId="1" xfId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4" fontId="5" fillId="0" borderId="0" xfId="0" applyNumberFormat="1" applyFont="1" applyBorder="1" applyAlignment="1">
      <alignment horizontal="center" vertical="center"/>
    </xf>
    <xf numFmtId="9" fontId="5" fillId="3" borderId="0" xfId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9" fontId="7" fillId="2" borderId="0" xfId="1" applyFont="1" applyFill="1" applyAlignment="1">
      <alignment horizontal="center" vertical="center"/>
    </xf>
    <xf numFmtId="9" fontId="7" fillId="3" borderId="0" xfId="1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9" fontId="7" fillId="2" borderId="0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3" borderId="0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11" fontId="5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9" fontId="11" fillId="0" borderId="0" xfId="0" applyNumberFormat="1" applyFont="1" applyAlignment="1">
      <alignment horizontal="center" vertical="center" wrapText="1"/>
    </xf>
    <xf numFmtId="0" fontId="11" fillId="0" borderId="0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3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 wrapText="1"/>
    </xf>
    <xf numFmtId="0" fontId="10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2" fontId="5" fillId="0" borderId="4" xfId="0" applyNumberFormat="1" applyFont="1" applyBorder="1" applyAlignment="1">
      <alignment horizontal="center" vertical="center"/>
    </xf>
    <xf numFmtId="11" fontId="0" fillId="0" borderId="0" xfId="0" applyNumberFormat="1"/>
    <xf numFmtId="0" fontId="4" fillId="0" borderId="0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176" fontId="11" fillId="0" borderId="0" xfId="0" applyNumberFormat="1" applyFont="1" applyBorder="1" applyAlignment="1">
      <alignment horizontal="center" vertical="center" wrapText="1"/>
    </xf>
    <xf numFmtId="176" fontId="11" fillId="0" borderId="0" xfId="0" applyNumberFormat="1" applyFont="1" applyAlignment="1">
      <alignment horizontal="center" vertical="center" wrapText="1"/>
    </xf>
    <xf numFmtId="176" fontId="5" fillId="0" borderId="0" xfId="0" applyNumberFormat="1" applyFont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176" fontId="11" fillId="0" borderId="4" xfId="0" applyNumberFormat="1" applyFont="1" applyBorder="1" applyAlignment="1">
      <alignment horizontal="center" vertical="center" wrapText="1"/>
    </xf>
    <xf numFmtId="176" fontId="5" fillId="0" borderId="4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177" fontId="5" fillId="0" borderId="0" xfId="0" applyNumberFormat="1" applyFont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49" fontId="5" fillId="0" borderId="0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0" fillId="0" borderId="0" xfId="0" applyNumberFormat="1"/>
    <xf numFmtId="0" fontId="0" fillId="0" borderId="0" xfId="0" applyNumberFormat="1"/>
    <xf numFmtId="10" fontId="0" fillId="0" borderId="0" xfId="1" applyNumberFormat="1" applyFont="1" applyAlignment="1"/>
    <xf numFmtId="0" fontId="4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8" fontId="5" fillId="0" borderId="0" xfId="2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</cellXfs>
  <cellStyles count="3">
    <cellStyle name="百分比" xfId="1" builtinId="5"/>
    <cellStyle name="常规" xfId="0" builtinId="0"/>
    <cellStyle name="千位分隔" xfId="2" builtinId="3"/>
  </cellStyles>
  <dxfs count="0"/>
  <tableStyles count="0" defaultTableStyle="TableStyleMedium2" defaultPivotStyle="PivotStyleLight16"/>
  <colors>
    <mruColors>
      <color rgb="FF0000FF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42449017438093"/>
          <c:y val="3.5905168955633192E-2"/>
          <c:w val="0.79221321789623211"/>
          <c:h val="0.78686573260300363"/>
        </c:manualLayout>
      </c:layout>
      <c:scatterChart>
        <c:scatterStyle val="lineMarker"/>
        <c:varyColors val="0"/>
        <c:ser>
          <c:idx val="0"/>
          <c:order val="0"/>
          <c:tx>
            <c:v>AABB+KDT</c:v>
          </c:tx>
          <c:spPr>
            <a:ln w="19050" cap="rnd">
              <a:solidFill>
                <a:srgbClr val="00FF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FF00"/>
              </a:solidFill>
              <a:ln w="9525">
                <a:solidFill>
                  <a:srgbClr val="00FF00"/>
                </a:solidFill>
              </a:ln>
              <a:effectLst/>
            </c:spPr>
          </c:marker>
          <c:xVal>
            <c:numRef>
              <c:f>小论文!$U$55:$U$59</c:f>
              <c:numCache>
                <c:formatCode>General</c:formatCode>
                <c:ptCount val="5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</c:numCache>
            </c:numRef>
          </c:xVal>
          <c:yVal>
            <c:numRef>
              <c:f>小论文!$AC$55:$AC$59</c:f>
              <c:numCache>
                <c:formatCode>0.00E+00</c:formatCode>
                <c:ptCount val="5"/>
                <c:pt idx="0">
                  <c:v>2.529582056831277</c:v>
                </c:pt>
                <c:pt idx="1">
                  <c:v>2.6302522850316725</c:v>
                </c:pt>
                <c:pt idx="2">
                  <c:v>2.809949889993451</c:v>
                </c:pt>
                <c:pt idx="3">
                  <c:v>2.9285916155515235</c:v>
                </c:pt>
                <c:pt idx="4">
                  <c:v>3.0482569085659734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7D3-4DBE-B553-B4C5039486D7}"/>
            </c:ext>
          </c:extLst>
        </c:ser>
        <c:ser>
          <c:idx val="1"/>
          <c:order val="1"/>
          <c:tx>
            <c:v>AABB+KDT+DP</c:v>
          </c:tx>
          <c:spPr>
            <a:ln w="19050" cap="rnd">
              <a:solidFill>
                <a:srgbClr val="0000F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00FF"/>
              </a:solidFill>
              <a:ln w="9525">
                <a:solidFill>
                  <a:srgbClr val="0000FF"/>
                </a:solidFill>
              </a:ln>
              <a:effectLst/>
            </c:spPr>
          </c:marker>
          <c:xVal>
            <c:numRef>
              <c:f>小论文!$U$55:$U$59</c:f>
              <c:numCache>
                <c:formatCode>General</c:formatCode>
                <c:ptCount val="5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</c:numCache>
            </c:numRef>
          </c:xVal>
          <c:yVal>
            <c:numRef>
              <c:f>小论文!$AB$55:$AB$59</c:f>
              <c:numCache>
                <c:formatCode>0.00E+00</c:formatCode>
                <c:ptCount val="5"/>
                <c:pt idx="0">
                  <c:v>1.9674527108687712</c:v>
                </c:pt>
                <c:pt idx="1">
                  <c:v>2.0457517772468568</c:v>
                </c:pt>
                <c:pt idx="2">
                  <c:v>2.2074892752812709</c:v>
                </c:pt>
                <c:pt idx="3">
                  <c:v>2.3681892121041392</c:v>
                </c:pt>
                <c:pt idx="4">
                  <c:v>2.4250678731971966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7D3-4DBE-B553-B4C5039486D7}"/>
            </c:ext>
          </c:extLst>
        </c:ser>
        <c:ser>
          <c:idx val="2"/>
          <c:order val="2"/>
          <c:tx>
            <c:v>AABB+KDT+DP+PA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小论文!$U$55:$U$59</c:f>
              <c:numCache>
                <c:formatCode>General</c:formatCode>
                <c:ptCount val="5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</c:numCache>
            </c:numRef>
          </c:xVal>
          <c:yVal>
            <c:numRef>
              <c:f>小论文!$AA$55:$AA$59</c:f>
              <c:numCache>
                <c:formatCode>0.00E+00</c:formatCode>
                <c:ptCount val="5"/>
                <c:pt idx="0">
                  <c:v>1.1242586919250119</c:v>
                </c:pt>
                <c:pt idx="1">
                  <c:v>1.2420635790427343</c:v>
                </c:pt>
                <c:pt idx="2">
                  <c:v>1.4210712209623182</c:v>
                </c:pt>
                <c:pt idx="3">
                  <c:v>1.607560898595473</c:v>
                </c:pt>
                <c:pt idx="4">
                  <c:v>1.7141982540253886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7D3-4DBE-B553-B4C5039486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9908624"/>
        <c:axId val="1429906960"/>
      </c:scatterChart>
      <c:valAx>
        <c:axId val="1429908624"/>
        <c:scaling>
          <c:orientation val="minMax"/>
          <c:max val="7"/>
          <c:min val="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level</a:t>
                </a:r>
                <a:endParaRPr 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429906960"/>
        <c:crosses val="autoZero"/>
        <c:crossBetween val="midCat"/>
      </c:valAx>
      <c:valAx>
        <c:axId val="142990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T</a:t>
                </a:r>
                <a:r>
                  <a:rPr lang="en-US" baseline="-25000"/>
                  <a:t>total</a:t>
                </a:r>
                <a:r>
                  <a:rPr lang="en-US"/>
                  <a:t>/N</a:t>
                </a:r>
                <a:r>
                  <a:rPr lang="en-US" baseline="-25000"/>
                  <a:t>cells</a:t>
                </a:r>
                <a:r>
                  <a:rPr lang="en-US"/>
                  <a:t> (sec</a:t>
                </a:r>
                <a:r>
                  <a:rPr lang="en-US">
                    <a:latin typeface="+mn-lt"/>
                  </a:rPr>
                  <a:t>x</a:t>
                </a:r>
                <a:r>
                  <a:rPr lang="en-US"/>
                  <a:t>10</a:t>
                </a:r>
                <a:r>
                  <a:rPr lang="en-US" baseline="30000"/>
                  <a:t>-6</a:t>
                </a:r>
                <a:r>
                  <a:rPr lang="en-US"/>
                  <a:t>)</a:t>
                </a:r>
                <a:endParaRPr 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429908624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38689055555555557"/>
          <c:y val="0.54109703602551951"/>
          <c:w val="0.561299797686584"/>
          <c:h val="0.26099610990737426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502346953846016"/>
          <c:y val="3.4211606239725523E-2"/>
          <c:w val="0.74437941476620961"/>
          <c:h val="0.78343699170536119"/>
        </c:manualLayout>
      </c:layout>
      <c:scatterChart>
        <c:scatterStyle val="lineMarker"/>
        <c:varyColors val="0"/>
        <c:ser>
          <c:idx val="2"/>
          <c:order val="0"/>
          <c:tx>
            <c:strRef>
              <c:f>小论文!$AC$54</c:f>
              <c:strCache>
                <c:ptCount val="1"/>
                <c:pt idx="0">
                  <c:v>AABB+KDT</c:v>
                </c:pt>
              </c:strCache>
            </c:strRef>
          </c:tx>
          <c:spPr>
            <a:ln w="19050" cap="rnd">
              <a:solidFill>
                <a:srgbClr val="00FF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FF00"/>
              </a:solidFill>
              <a:ln w="9525">
                <a:solidFill>
                  <a:srgbClr val="00FF00"/>
                </a:solidFill>
              </a:ln>
              <a:effectLst/>
            </c:spPr>
          </c:marker>
          <c:xVal>
            <c:numRef>
              <c:f>小论文!$U$61:$U$67</c:f>
              <c:numCache>
                <c:formatCode>General</c:formatCode>
                <c:ptCount val="7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50</c:v>
                </c:pt>
                <c:pt idx="4">
                  <c:v>100</c:v>
                </c:pt>
                <c:pt idx="5">
                  <c:v>500</c:v>
                </c:pt>
                <c:pt idx="6">
                  <c:v>1000</c:v>
                </c:pt>
              </c:numCache>
            </c:numRef>
          </c:xVal>
          <c:yVal>
            <c:numRef>
              <c:f>小论文!$AC$61:$AC$67</c:f>
              <c:numCache>
                <c:formatCode>0.00E+00</c:formatCode>
                <c:ptCount val="7"/>
                <c:pt idx="0">
                  <c:v>2.809949889993451</c:v>
                </c:pt>
                <c:pt idx="1">
                  <c:v>4.23930084980356</c:v>
                </c:pt>
                <c:pt idx="2">
                  <c:v>4.966098191534706</c:v>
                </c:pt>
                <c:pt idx="3">
                  <c:v>9.2706549770535442</c:v>
                </c:pt>
                <c:pt idx="4">
                  <c:v>15.291390666556731</c:v>
                </c:pt>
                <c:pt idx="5">
                  <c:v>32.210507286547504</c:v>
                </c:pt>
                <c:pt idx="6">
                  <c:v>52.510869462788946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731-4908-A641-534FE2EF2CA3}"/>
            </c:ext>
          </c:extLst>
        </c:ser>
        <c:ser>
          <c:idx val="1"/>
          <c:order val="1"/>
          <c:tx>
            <c:strRef>
              <c:f>小论文!$AB$54</c:f>
              <c:strCache>
                <c:ptCount val="1"/>
                <c:pt idx="0">
                  <c:v>AABB+KDT+DP</c:v>
                </c:pt>
              </c:strCache>
            </c:strRef>
          </c:tx>
          <c:spPr>
            <a:ln w="19050" cap="rnd">
              <a:solidFill>
                <a:srgbClr val="0000F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00FF"/>
              </a:solidFill>
              <a:ln w="9525">
                <a:solidFill>
                  <a:srgbClr val="0000FF"/>
                </a:solidFill>
              </a:ln>
              <a:effectLst/>
            </c:spPr>
          </c:marker>
          <c:xVal>
            <c:numRef>
              <c:f>小论文!$U$61:$U$67</c:f>
              <c:numCache>
                <c:formatCode>General</c:formatCode>
                <c:ptCount val="7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50</c:v>
                </c:pt>
                <c:pt idx="4">
                  <c:v>100</c:v>
                </c:pt>
                <c:pt idx="5">
                  <c:v>500</c:v>
                </c:pt>
                <c:pt idx="6">
                  <c:v>1000</c:v>
                </c:pt>
              </c:numCache>
            </c:numRef>
          </c:xVal>
          <c:yVal>
            <c:numRef>
              <c:f>小论文!$AB$61:$AB$67</c:f>
              <c:numCache>
                <c:formatCode>0.00E+00</c:formatCode>
                <c:ptCount val="7"/>
                <c:pt idx="0">
                  <c:v>2.2074892752812709</c:v>
                </c:pt>
                <c:pt idx="1">
                  <c:v>3.0280720355739712</c:v>
                </c:pt>
                <c:pt idx="2">
                  <c:v>3.5010549639072659</c:v>
                </c:pt>
                <c:pt idx="3">
                  <c:v>5.9594050900330533</c:v>
                </c:pt>
                <c:pt idx="4">
                  <c:v>9.0906850016022389</c:v>
                </c:pt>
                <c:pt idx="5">
                  <c:v>19.035100725738264</c:v>
                </c:pt>
                <c:pt idx="6">
                  <c:v>30.31199138789432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731-4908-A641-534FE2EF2CA3}"/>
            </c:ext>
          </c:extLst>
        </c:ser>
        <c:ser>
          <c:idx val="0"/>
          <c:order val="2"/>
          <c:tx>
            <c:strRef>
              <c:f>小论文!$AA$54</c:f>
              <c:strCache>
                <c:ptCount val="1"/>
                <c:pt idx="0">
                  <c:v>AABB+KDT+DP+PA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小论文!$U$61:$U$67</c:f>
              <c:numCache>
                <c:formatCode>General</c:formatCode>
                <c:ptCount val="7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50</c:v>
                </c:pt>
                <c:pt idx="4">
                  <c:v>100</c:v>
                </c:pt>
                <c:pt idx="5">
                  <c:v>500</c:v>
                </c:pt>
                <c:pt idx="6">
                  <c:v>1000</c:v>
                </c:pt>
              </c:numCache>
            </c:numRef>
          </c:xVal>
          <c:yVal>
            <c:numRef>
              <c:f>小论文!$AA$61:$AA$67</c:f>
              <c:numCache>
                <c:formatCode>0.00E+00</c:formatCode>
                <c:ptCount val="7"/>
                <c:pt idx="0">
                  <c:v>1.4210712209623182</c:v>
                </c:pt>
                <c:pt idx="1">
                  <c:v>1.5908676963015491</c:v>
                </c:pt>
                <c:pt idx="2">
                  <c:v>1.5756960393817785</c:v>
                </c:pt>
                <c:pt idx="3">
                  <c:v>1.7612132689892155</c:v>
                </c:pt>
                <c:pt idx="4">
                  <c:v>1.831736903081143</c:v>
                </c:pt>
                <c:pt idx="5">
                  <c:v>2.3287386384938276</c:v>
                </c:pt>
                <c:pt idx="6">
                  <c:v>2.5577846174833105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731-4908-A641-534FE2EF2C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5409648"/>
        <c:axId val="1365405488"/>
      </c:scatterChart>
      <c:valAx>
        <c:axId val="1365409648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altLang="zh-CN"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</a:rPr>
                  <a:t>N</a:t>
                </a:r>
                <a:r>
                  <a:rPr lang="en-US" altLang="zh-CN" baseline="-25000">
                    <a:solidFill>
                      <a:sysClr val="windowText" lastClr="000000"/>
                    </a:solidFill>
                  </a:rPr>
                  <a:t>tri</a:t>
                </a:r>
                <a:r>
                  <a:rPr lang="en-US" altLang="zh-CN">
                    <a:solidFill>
                      <a:sysClr val="windowText" lastClr="000000"/>
                    </a:solidFill>
                  </a:rPr>
                  <a:t> (</a:t>
                </a:r>
                <a:r>
                  <a:rPr lang="en-US" altLang="zh-CN">
                    <a:solidFill>
                      <a:sysClr val="windowText" lastClr="000000"/>
                    </a:solidFill>
                    <a:latin typeface="+mn-lt"/>
                  </a:rPr>
                  <a:t>x</a:t>
                </a:r>
                <a:r>
                  <a:rPr lang="en-US" altLang="zh-CN">
                    <a:solidFill>
                      <a:sysClr val="windowText" lastClr="000000"/>
                    </a:solidFill>
                  </a:rPr>
                  <a:t>10</a:t>
                </a:r>
                <a:r>
                  <a:rPr lang="en-US" altLang="zh-CN" baseline="30000">
                    <a:solidFill>
                      <a:sysClr val="windowText" lastClr="000000"/>
                    </a:solidFill>
                  </a:rPr>
                  <a:t>3</a:t>
                </a:r>
                <a:r>
                  <a:rPr lang="en-US" altLang="zh-CN">
                    <a:solidFill>
                      <a:sysClr val="windowText" lastClr="000000"/>
                    </a:solidFill>
                  </a:rPr>
                  <a:t>)</a:t>
                </a:r>
                <a:endParaRPr lang="zh-CN" altLang="en-US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altLang="zh-CN" sz="14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altLang="zh-CN"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365405488"/>
        <c:crosses val="autoZero"/>
        <c:crossBetween val="midCat"/>
      </c:valAx>
      <c:valAx>
        <c:axId val="1365405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altLang="zh-CN"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400" b="0" i="0" u="none" strike="noStrike" baseline="0">
                    <a:effectLst/>
                  </a:rPr>
                  <a:t>T</a:t>
                </a:r>
                <a:r>
                  <a:rPr lang="en-US" altLang="zh-CN" sz="1400" b="0" i="0" u="none" strike="noStrike" baseline="-25000">
                    <a:effectLst/>
                  </a:rPr>
                  <a:t>total</a:t>
                </a:r>
                <a:r>
                  <a:rPr lang="en-US" altLang="zh-CN" sz="1400" b="0" i="0" u="none" strike="noStrike" baseline="0">
                    <a:effectLst/>
                  </a:rPr>
                  <a:t>/N</a:t>
                </a:r>
                <a:r>
                  <a:rPr lang="en-US" altLang="zh-CN" sz="1400" b="0" i="0" u="none" strike="noStrike" baseline="-25000">
                    <a:effectLst/>
                  </a:rPr>
                  <a:t>cells</a:t>
                </a:r>
                <a:r>
                  <a:rPr lang="en-US" altLang="zh-CN" sz="1400" b="0" i="0" u="none" strike="noStrike" baseline="0">
                    <a:effectLst/>
                  </a:rPr>
                  <a:t> </a:t>
                </a:r>
                <a:r>
                  <a:rPr lang="en-US" altLang="zh-CN" sz="1400" b="0" i="0" baseline="0">
                    <a:solidFill>
                      <a:sysClr val="windowText" lastClr="000000"/>
                    </a:solidFill>
                    <a:effectLst/>
                  </a:rPr>
                  <a:t>(sec</a:t>
                </a:r>
                <a:r>
                  <a:rPr lang="en-US" altLang="zh-CN" sz="1400" b="0" i="0" baseline="0">
                    <a:solidFill>
                      <a:sysClr val="windowText" lastClr="000000"/>
                    </a:solidFill>
                    <a:effectLst/>
                    <a:latin typeface="+mn-lt"/>
                  </a:rPr>
                  <a:t>x</a:t>
                </a:r>
                <a:r>
                  <a:rPr lang="en-US" altLang="zh-CN" sz="1400" b="0" i="0" baseline="0">
                    <a:solidFill>
                      <a:sysClr val="windowText" lastClr="000000"/>
                    </a:solidFill>
                    <a:effectLst/>
                  </a:rPr>
                  <a:t>10</a:t>
                </a:r>
                <a:r>
                  <a:rPr lang="en-US" altLang="zh-CN" sz="1400" b="0" i="0" baseline="30000">
                    <a:solidFill>
                      <a:sysClr val="windowText" lastClr="000000"/>
                    </a:solidFill>
                    <a:effectLst/>
                  </a:rPr>
                  <a:t>-6</a:t>
                </a:r>
                <a:r>
                  <a:rPr lang="en-US" altLang="zh-CN" sz="1400" b="0" i="0" baseline="0">
                    <a:solidFill>
                      <a:sysClr val="windowText" lastClr="000000"/>
                    </a:solidFill>
                    <a:effectLst/>
                  </a:rPr>
                  <a:t>)</a:t>
                </a:r>
                <a:endParaRPr lang="zh-CN" altLang="zh-CN" sz="1400">
                  <a:solidFill>
                    <a:sysClr val="windowText" lastClr="000000"/>
                  </a:solidFill>
                  <a:effectLst/>
                </a:endParaRPr>
              </a:p>
            </c:rich>
          </c:tx>
          <c:layout>
            <c:manualLayout>
              <c:xMode val="edge"/>
              <c:yMode val="edge"/>
              <c:x val="1.8708223697101879E-2"/>
              <c:y val="0.1947017998994399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altLang="zh-CN" sz="14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altLang="zh-CN"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365409648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l"/>
      <c:layout>
        <c:manualLayout>
          <c:xMode val="edge"/>
          <c:yMode val="edge"/>
          <c:x val="0.21532106519305935"/>
          <c:y val="4.9657682400570141E-2"/>
          <c:w val="0.55776994415882897"/>
          <c:h val="0.24305494679807479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altLang="zh-CN" sz="14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en-US" altLang="zh-CN" sz="1400" b="0" i="0" u="none" strike="noStrike" kern="1200" baseline="0">
          <a:solidFill>
            <a:schemeClr val="tx1"/>
          </a:solidFill>
          <a:latin typeface="Times New Roman" panose="02020603050405020304" pitchFamily="18" charset="0"/>
          <a:ea typeface="+mn-ea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014195014123583"/>
          <c:y val="3.5905168955633192E-2"/>
          <c:w val="0.80632444134509096"/>
          <c:h val="0.78686573260300363"/>
        </c:manualLayout>
      </c:layout>
      <c:scatterChart>
        <c:scatterStyle val="lineMarker"/>
        <c:varyColors val="0"/>
        <c:ser>
          <c:idx val="0"/>
          <c:order val="0"/>
          <c:tx>
            <c:strRef>
              <c:f>小论文!$AC$54</c:f>
              <c:strCache>
                <c:ptCount val="1"/>
                <c:pt idx="0">
                  <c:v>AABB+KDT</c:v>
                </c:pt>
              </c:strCache>
            </c:strRef>
          </c:tx>
          <c:spPr>
            <a:ln w="19050" cap="rnd">
              <a:solidFill>
                <a:srgbClr val="00FF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FF00"/>
              </a:solidFill>
              <a:ln w="9525">
                <a:solidFill>
                  <a:srgbClr val="00FF00"/>
                </a:solidFill>
              </a:ln>
              <a:effectLst/>
            </c:spPr>
          </c:marker>
          <c:xVal>
            <c:numRef>
              <c:f>小论文!$U$55:$U$59</c:f>
              <c:numCache>
                <c:formatCode>General</c:formatCode>
                <c:ptCount val="5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</c:numCache>
            </c:numRef>
          </c:xVal>
          <c:yVal>
            <c:numRef>
              <c:f>小论文!$AG$55:$AG$59</c:f>
              <c:numCache>
                <c:formatCode>0.00E+00</c:formatCode>
                <c:ptCount val="5"/>
                <c:pt idx="0">
                  <c:v>0.36</c:v>
                </c:pt>
                <c:pt idx="1">
                  <c:v>1.44</c:v>
                </c:pt>
                <c:pt idx="2">
                  <c:v>6.11</c:v>
                </c:pt>
                <c:pt idx="3">
                  <c:v>25.45</c:v>
                </c:pt>
                <c:pt idx="4">
                  <c:v>106.73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3D9-49C3-A58C-DDDD5D0E8D3B}"/>
            </c:ext>
          </c:extLst>
        </c:ser>
        <c:ser>
          <c:idx val="1"/>
          <c:order val="1"/>
          <c:tx>
            <c:strRef>
              <c:f>小论文!$AB$54</c:f>
              <c:strCache>
                <c:ptCount val="1"/>
                <c:pt idx="0">
                  <c:v>AABB+KDT+DP</c:v>
                </c:pt>
              </c:strCache>
            </c:strRef>
          </c:tx>
          <c:spPr>
            <a:ln w="19050" cap="rnd">
              <a:solidFill>
                <a:srgbClr val="0000F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00FF"/>
              </a:solidFill>
              <a:ln w="9525">
                <a:solidFill>
                  <a:srgbClr val="0000FF"/>
                </a:solidFill>
              </a:ln>
              <a:effectLst/>
            </c:spPr>
          </c:marker>
          <c:xVal>
            <c:numRef>
              <c:f>小论文!$U$55:$U$59</c:f>
              <c:numCache>
                <c:formatCode>General</c:formatCode>
                <c:ptCount val="5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</c:numCache>
            </c:numRef>
          </c:xVal>
          <c:yVal>
            <c:numRef>
              <c:f>小论文!$AF$55:$AF$59</c:f>
              <c:numCache>
                <c:formatCode>0.00E+00</c:formatCode>
                <c:ptCount val="5"/>
                <c:pt idx="0">
                  <c:v>0.28000000000000003</c:v>
                </c:pt>
                <c:pt idx="1">
                  <c:v>1.1200000000000001</c:v>
                </c:pt>
                <c:pt idx="2">
                  <c:v>4.8</c:v>
                </c:pt>
                <c:pt idx="3">
                  <c:v>20.58</c:v>
                </c:pt>
                <c:pt idx="4">
                  <c:v>84.91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3D9-49C3-A58C-DDDD5D0E8D3B}"/>
            </c:ext>
          </c:extLst>
        </c:ser>
        <c:ser>
          <c:idx val="2"/>
          <c:order val="2"/>
          <c:tx>
            <c:strRef>
              <c:f>小论文!$AA$54</c:f>
              <c:strCache>
                <c:ptCount val="1"/>
                <c:pt idx="0">
                  <c:v>AABB+KDT+DP+PA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小论文!$U$55:$U$59</c:f>
              <c:numCache>
                <c:formatCode>General</c:formatCode>
                <c:ptCount val="5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</c:numCache>
            </c:numRef>
          </c:xVal>
          <c:yVal>
            <c:numRef>
              <c:f>小论文!$AE$55:$AE$59</c:f>
              <c:numCache>
                <c:formatCode>0.00E+00</c:formatCode>
                <c:ptCount val="5"/>
                <c:pt idx="0">
                  <c:v>0.16</c:v>
                </c:pt>
                <c:pt idx="1">
                  <c:v>0.68</c:v>
                </c:pt>
                <c:pt idx="2">
                  <c:v>3.09</c:v>
                </c:pt>
                <c:pt idx="3">
                  <c:v>13.97</c:v>
                </c:pt>
                <c:pt idx="4">
                  <c:v>60.02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3D9-49C3-A58C-DDDD5D0E8D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9908624"/>
        <c:axId val="1429906960"/>
      </c:scatterChart>
      <c:valAx>
        <c:axId val="1429908624"/>
        <c:scaling>
          <c:orientation val="minMax"/>
          <c:max val="7"/>
          <c:min val="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level</a:t>
                </a:r>
                <a:endParaRPr 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429906960"/>
        <c:crosses val="autoZero"/>
        <c:crossBetween val="midCat"/>
      </c:valAx>
      <c:valAx>
        <c:axId val="142990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CPUtime (sec)</a:t>
                </a:r>
                <a:endParaRPr 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429908624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17156945582459024"/>
          <c:y val="5.1257816943913286E-2"/>
          <c:w val="0.561299797686584"/>
          <c:h val="0.33155471790526198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781929687101164"/>
          <c:y val="3.5905168955633192E-2"/>
          <c:w val="0.76404063611499462"/>
          <c:h val="0.78686573260300363"/>
        </c:manualLayout>
      </c:layout>
      <c:scatterChart>
        <c:scatterStyle val="lineMarker"/>
        <c:varyColors val="0"/>
        <c:ser>
          <c:idx val="0"/>
          <c:order val="0"/>
          <c:tx>
            <c:strRef>
              <c:f>小论文!$AC$54</c:f>
              <c:strCache>
                <c:ptCount val="1"/>
                <c:pt idx="0">
                  <c:v>AABB+KDT</c:v>
                </c:pt>
              </c:strCache>
            </c:strRef>
          </c:tx>
          <c:spPr>
            <a:ln w="19050" cap="rnd">
              <a:solidFill>
                <a:srgbClr val="00FF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FF00"/>
              </a:solidFill>
              <a:ln w="9525">
                <a:solidFill>
                  <a:srgbClr val="00FF00"/>
                </a:solidFill>
              </a:ln>
              <a:effectLst/>
            </c:spPr>
          </c:marker>
          <c:xVal>
            <c:numRef>
              <c:f>小论文!$T$55:$T$59</c:f>
              <c:numCache>
                <c:formatCode>0.00E+00</c:formatCode>
                <c:ptCount val="5"/>
                <c:pt idx="0">
                  <c:v>0.142316</c:v>
                </c:pt>
                <c:pt idx="1">
                  <c:v>0.54747599999999996</c:v>
                </c:pt>
                <c:pt idx="2">
                  <c:v>2.1744159999999999</c:v>
                </c:pt>
                <c:pt idx="3">
                  <c:v>8.6901840000000004</c:v>
                </c:pt>
                <c:pt idx="4">
                  <c:v>35.013452999999998</c:v>
                </c:pt>
              </c:numCache>
            </c:numRef>
          </c:xVal>
          <c:yVal>
            <c:numRef>
              <c:f>小论文!$AC$55:$AC$59</c:f>
              <c:numCache>
                <c:formatCode>0.00E+00</c:formatCode>
                <c:ptCount val="5"/>
                <c:pt idx="0">
                  <c:v>2.529582056831277</c:v>
                </c:pt>
                <c:pt idx="1">
                  <c:v>2.6302522850316725</c:v>
                </c:pt>
                <c:pt idx="2">
                  <c:v>2.809949889993451</c:v>
                </c:pt>
                <c:pt idx="3">
                  <c:v>2.9285916155515235</c:v>
                </c:pt>
                <c:pt idx="4">
                  <c:v>3.0482569085659734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73D-44A3-9A52-575AEE022CCF}"/>
            </c:ext>
          </c:extLst>
        </c:ser>
        <c:ser>
          <c:idx val="1"/>
          <c:order val="1"/>
          <c:tx>
            <c:strRef>
              <c:f>小论文!$AB$54</c:f>
              <c:strCache>
                <c:ptCount val="1"/>
                <c:pt idx="0">
                  <c:v>AABB+KDT+DP</c:v>
                </c:pt>
              </c:strCache>
            </c:strRef>
          </c:tx>
          <c:spPr>
            <a:ln w="19050" cap="rnd">
              <a:solidFill>
                <a:srgbClr val="0000F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00FF"/>
              </a:solidFill>
              <a:ln w="9525">
                <a:solidFill>
                  <a:srgbClr val="0000FF"/>
                </a:solidFill>
              </a:ln>
              <a:effectLst/>
            </c:spPr>
          </c:marker>
          <c:xVal>
            <c:numRef>
              <c:f>小论文!$T$55:$T$59</c:f>
              <c:numCache>
                <c:formatCode>0.00E+00</c:formatCode>
                <c:ptCount val="5"/>
                <c:pt idx="0">
                  <c:v>0.142316</c:v>
                </c:pt>
                <c:pt idx="1">
                  <c:v>0.54747599999999996</c:v>
                </c:pt>
                <c:pt idx="2">
                  <c:v>2.1744159999999999</c:v>
                </c:pt>
                <c:pt idx="3">
                  <c:v>8.6901840000000004</c:v>
                </c:pt>
                <c:pt idx="4">
                  <c:v>35.013452999999998</c:v>
                </c:pt>
              </c:numCache>
            </c:numRef>
          </c:xVal>
          <c:yVal>
            <c:numRef>
              <c:f>小论文!$AB$55:$AB$59</c:f>
              <c:numCache>
                <c:formatCode>0.00E+00</c:formatCode>
                <c:ptCount val="5"/>
                <c:pt idx="0">
                  <c:v>1.9674527108687712</c:v>
                </c:pt>
                <c:pt idx="1">
                  <c:v>2.0457517772468568</c:v>
                </c:pt>
                <c:pt idx="2">
                  <c:v>2.2074892752812709</c:v>
                </c:pt>
                <c:pt idx="3">
                  <c:v>2.3681892121041392</c:v>
                </c:pt>
                <c:pt idx="4">
                  <c:v>2.4250678731971966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73D-44A3-9A52-575AEE022CCF}"/>
            </c:ext>
          </c:extLst>
        </c:ser>
        <c:ser>
          <c:idx val="2"/>
          <c:order val="2"/>
          <c:tx>
            <c:strRef>
              <c:f>小论文!$AA$54</c:f>
              <c:strCache>
                <c:ptCount val="1"/>
                <c:pt idx="0">
                  <c:v>AABB+KDT+DP+PA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小论文!$T$55:$T$59</c:f>
              <c:numCache>
                <c:formatCode>0.00E+00</c:formatCode>
                <c:ptCount val="5"/>
                <c:pt idx="0">
                  <c:v>0.142316</c:v>
                </c:pt>
                <c:pt idx="1">
                  <c:v>0.54747599999999996</c:v>
                </c:pt>
                <c:pt idx="2">
                  <c:v>2.1744159999999999</c:v>
                </c:pt>
                <c:pt idx="3">
                  <c:v>8.6901840000000004</c:v>
                </c:pt>
                <c:pt idx="4">
                  <c:v>35.013452999999998</c:v>
                </c:pt>
              </c:numCache>
            </c:numRef>
          </c:xVal>
          <c:yVal>
            <c:numRef>
              <c:f>小论文!$AA$55:$AA$59</c:f>
              <c:numCache>
                <c:formatCode>0.00E+00</c:formatCode>
                <c:ptCount val="5"/>
                <c:pt idx="0">
                  <c:v>1.1242586919250119</c:v>
                </c:pt>
                <c:pt idx="1">
                  <c:v>1.2420635790427343</c:v>
                </c:pt>
                <c:pt idx="2">
                  <c:v>1.4210712209623182</c:v>
                </c:pt>
                <c:pt idx="3">
                  <c:v>1.607560898595473</c:v>
                </c:pt>
                <c:pt idx="4">
                  <c:v>1.7141982540253886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73D-44A3-9A52-575AEE022C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9908624"/>
        <c:axId val="1429906960"/>
      </c:scatterChart>
      <c:valAx>
        <c:axId val="1429908624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N</a:t>
                </a:r>
                <a:r>
                  <a:rPr lang="en-US" baseline="-25000"/>
                  <a:t>Cells</a:t>
                </a:r>
                <a:r>
                  <a:rPr lang="en-US"/>
                  <a:t> (</a:t>
                </a:r>
                <a:r>
                  <a:rPr lang="en-US">
                    <a:latin typeface="+mn-lt"/>
                  </a:rPr>
                  <a:t>x</a:t>
                </a:r>
                <a:r>
                  <a:rPr lang="en-US"/>
                  <a:t>10</a:t>
                </a:r>
                <a:r>
                  <a:rPr lang="en-US" baseline="30000"/>
                  <a:t>6</a:t>
                </a:r>
                <a:r>
                  <a:rPr lang="en-US"/>
                  <a:t>)</a:t>
                </a:r>
                <a:endParaRPr 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General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429906960"/>
        <c:crosses val="autoZero"/>
        <c:crossBetween val="midCat"/>
      </c:valAx>
      <c:valAx>
        <c:axId val="142990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400" b="0" i="0" u="none" strike="noStrike" baseline="0">
                    <a:effectLst/>
                  </a:rPr>
                  <a:t>T</a:t>
                </a:r>
                <a:r>
                  <a:rPr lang="en-US" altLang="zh-CN" sz="1400" b="0" i="0" u="none" strike="noStrike" baseline="-25000">
                    <a:effectLst/>
                  </a:rPr>
                  <a:t>total</a:t>
                </a:r>
                <a:r>
                  <a:rPr lang="en-US" altLang="zh-CN" sz="1400" b="0" i="0" u="none" strike="noStrike" baseline="0">
                    <a:effectLst/>
                  </a:rPr>
                  <a:t>/N</a:t>
                </a:r>
                <a:r>
                  <a:rPr lang="en-US" altLang="zh-CN" sz="1400" b="0" i="0" u="none" strike="noStrike" baseline="-25000">
                    <a:effectLst/>
                  </a:rPr>
                  <a:t>cells</a:t>
                </a:r>
                <a:r>
                  <a:rPr lang="en-US" altLang="zh-CN" sz="1400" b="0" i="0" u="none" strike="noStrike" baseline="0">
                    <a:effectLst/>
                  </a:rPr>
                  <a:t> </a:t>
                </a:r>
                <a:r>
                  <a:rPr lang="en-US"/>
                  <a:t>(sec</a:t>
                </a:r>
                <a:r>
                  <a:rPr lang="en-US">
                    <a:latin typeface="+mn-lt"/>
                  </a:rPr>
                  <a:t>x</a:t>
                </a:r>
                <a:r>
                  <a:rPr lang="en-US"/>
                  <a:t>10</a:t>
                </a:r>
                <a:r>
                  <a:rPr lang="en-US" baseline="30000"/>
                  <a:t>-6</a:t>
                </a:r>
                <a:r>
                  <a:rPr lang="en-US"/>
                  <a:t>)</a:t>
                </a:r>
                <a:endParaRPr lang="zh-CN"/>
              </a:p>
            </c:rich>
          </c:tx>
          <c:layout>
            <c:manualLayout>
              <c:xMode val="edge"/>
              <c:yMode val="edge"/>
              <c:x val="0"/>
              <c:y val="0.162870652785173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429908624"/>
        <c:crossesAt val="0.1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36575473971410138"/>
          <c:y val="0.58079898129207941"/>
          <c:w val="0.561299797686584"/>
          <c:h val="0.22570521591098949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502346953846016"/>
          <c:y val="3.4211606239725523E-2"/>
          <c:w val="0.74437941476620961"/>
          <c:h val="0.78343699170536119"/>
        </c:manualLayout>
      </c:layout>
      <c:scatterChart>
        <c:scatterStyle val="lineMarker"/>
        <c:varyColors val="0"/>
        <c:ser>
          <c:idx val="2"/>
          <c:order val="0"/>
          <c:tx>
            <c:strRef>
              <c:f>小论文!$AC$54</c:f>
              <c:strCache>
                <c:ptCount val="1"/>
                <c:pt idx="0">
                  <c:v>AABB+KDT</c:v>
                </c:pt>
              </c:strCache>
            </c:strRef>
          </c:tx>
          <c:spPr>
            <a:ln w="19050" cap="rnd">
              <a:solidFill>
                <a:srgbClr val="00FF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FF00"/>
              </a:solidFill>
              <a:ln w="9525">
                <a:solidFill>
                  <a:srgbClr val="00FF00"/>
                </a:solidFill>
              </a:ln>
              <a:effectLst/>
            </c:spPr>
          </c:marker>
          <c:xVal>
            <c:numRef>
              <c:f>小论文!$U$61:$U$67</c:f>
              <c:numCache>
                <c:formatCode>General</c:formatCode>
                <c:ptCount val="7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50</c:v>
                </c:pt>
                <c:pt idx="4">
                  <c:v>100</c:v>
                </c:pt>
                <c:pt idx="5">
                  <c:v>500</c:v>
                </c:pt>
                <c:pt idx="6">
                  <c:v>1000</c:v>
                </c:pt>
              </c:numCache>
            </c:numRef>
          </c:xVal>
          <c:yVal>
            <c:numRef>
              <c:f>小论文!$AC$61:$AC$67</c:f>
              <c:numCache>
                <c:formatCode>0.00E+00</c:formatCode>
                <c:ptCount val="7"/>
                <c:pt idx="0">
                  <c:v>2.809949889993451</c:v>
                </c:pt>
                <c:pt idx="1">
                  <c:v>4.23930084980356</c:v>
                </c:pt>
                <c:pt idx="2">
                  <c:v>4.966098191534706</c:v>
                </c:pt>
                <c:pt idx="3">
                  <c:v>9.2706549770535442</c:v>
                </c:pt>
                <c:pt idx="4">
                  <c:v>15.291390666556731</c:v>
                </c:pt>
                <c:pt idx="5">
                  <c:v>32.210507286547504</c:v>
                </c:pt>
                <c:pt idx="6">
                  <c:v>52.510869462788946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CB-4258-B36C-73B02A3E60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5409648"/>
        <c:axId val="1365405488"/>
      </c:scatterChart>
      <c:valAx>
        <c:axId val="1365409648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altLang="zh-CN"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</a:rPr>
                  <a:t>N</a:t>
                </a:r>
                <a:r>
                  <a:rPr lang="en-US" altLang="zh-CN" baseline="-25000">
                    <a:solidFill>
                      <a:sysClr val="windowText" lastClr="000000"/>
                    </a:solidFill>
                  </a:rPr>
                  <a:t>tri</a:t>
                </a:r>
                <a:r>
                  <a:rPr lang="en-US" altLang="zh-CN">
                    <a:solidFill>
                      <a:sysClr val="windowText" lastClr="000000"/>
                    </a:solidFill>
                  </a:rPr>
                  <a:t> (</a:t>
                </a:r>
                <a:r>
                  <a:rPr lang="en-US" altLang="zh-CN">
                    <a:solidFill>
                      <a:sysClr val="windowText" lastClr="000000"/>
                    </a:solidFill>
                    <a:latin typeface="+mn-lt"/>
                  </a:rPr>
                  <a:t>x</a:t>
                </a:r>
                <a:r>
                  <a:rPr lang="en-US" altLang="zh-CN">
                    <a:solidFill>
                      <a:sysClr val="windowText" lastClr="000000"/>
                    </a:solidFill>
                  </a:rPr>
                  <a:t>10</a:t>
                </a:r>
                <a:r>
                  <a:rPr lang="en-US" altLang="zh-CN" baseline="30000">
                    <a:solidFill>
                      <a:sysClr val="windowText" lastClr="000000"/>
                    </a:solidFill>
                  </a:rPr>
                  <a:t>3</a:t>
                </a:r>
                <a:r>
                  <a:rPr lang="en-US" altLang="zh-CN">
                    <a:solidFill>
                      <a:sysClr val="windowText" lastClr="000000"/>
                    </a:solidFill>
                  </a:rPr>
                  <a:t>)</a:t>
                </a:r>
                <a:endParaRPr lang="zh-CN" altLang="en-US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altLang="zh-CN" sz="14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altLang="zh-CN"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365405488"/>
        <c:crosses val="autoZero"/>
        <c:crossBetween val="midCat"/>
      </c:valAx>
      <c:valAx>
        <c:axId val="1365405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altLang="zh-CN"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400" b="0" i="0" u="none" strike="noStrike" baseline="0">
                    <a:effectLst/>
                  </a:rPr>
                  <a:t>T</a:t>
                </a:r>
                <a:r>
                  <a:rPr lang="en-US" altLang="zh-CN" sz="1400" b="0" i="0" u="none" strike="noStrike" baseline="-25000">
                    <a:effectLst/>
                  </a:rPr>
                  <a:t>total</a:t>
                </a:r>
                <a:r>
                  <a:rPr lang="en-US" altLang="zh-CN" sz="1400" b="0" i="0" u="none" strike="noStrike" baseline="0">
                    <a:effectLst/>
                  </a:rPr>
                  <a:t>/N</a:t>
                </a:r>
                <a:r>
                  <a:rPr lang="en-US" altLang="zh-CN" sz="1400" b="0" i="0" u="none" strike="noStrike" baseline="-25000">
                    <a:effectLst/>
                  </a:rPr>
                  <a:t>cells</a:t>
                </a:r>
                <a:r>
                  <a:rPr lang="en-US" altLang="zh-CN" sz="1400" b="0" i="0" u="none" strike="noStrike" baseline="0">
                    <a:effectLst/>
                  </a:rPr>
                  <a:t> </a:t>
                </a:r>
                <a:r>
                  <a:rPr lang="en-US" altLang="zh-CN" sz="1400" b="0" i="0" baseline="0">
                    <a:solidFill>
                      <a:sysClr val="windowText" lastClr="000000"/>
                    </a:solidFill>
                    <a:effectLst/>
                  </a:rPr>
                  <a:t>(sec</a:t>
                </a:r>
                <a:r>
                  <a:rPr lang="en-US" altLang="zh-CN" sz="1400" b="0" i="0" baseline="0">
                    <a:solidFill>
                      <a:sysClr val="windowText" lastClr="000000"/>
                    </a:solidFill>
                    <a:effectLst/>
                    <a:latin typeface="+mn-lt"/>
                  </a:rPr>
                  <a:t>x</a:t>
                </a:r>
                <a:r>
                  <a:rPr lang="en-US" altLang="zh-CN" sz="1400" b="0" i="0" baseline="0">
                    <a:solidFill>
                      <a:sysClr val="windowText" lastClr="000000"/>
                    </a:solidFill>
                    <a:effectLst/>
                  </a:rPr>
                  <a:t>10</a:t>
                </a:r>
                <a:r>
                  <a:rPr lang="en-US" altLang="zh-CN" sz="1400" b="0" i="0" baseline="30000">
                    <a:solidFill>
                      <a:sysClr val="windowText" lastClr="000000"/>
                    </a:solidFill>
                    <a:effectLst/>
                  </a:rPr>
                  <a:t>-6</a:t>
                </a:r>
                <a:r>
                  <a:rPr lang="en-US" altLang="zh-CN" sz="1400" b="0" i="0" baseline="0">
                    <a:solidFill>
                      <a:sysClr val="windowText" lastClr="000000"/>
                    </a:solidFill>
                    <a:effectLst/>
                  </a:rPr>
                  <a:t>)</a:t>
                </a:r>
                <a:endParaRPr lang="zh-CN" altLang="zh-CN" sz="1400">
                  <a:solidFill>
                    <a:sysClr val="windowText" lastClr="000000"/>
                  </a:solidFill>
                  <a:effectLst/>
                </a:endParaRPr>
              </a:p>
            </c:rich>
          </c:tx>
          <c:layout>
            <c:manualLayout>
              <c:xMode val="edge"/>
              <c:yMode val="edge"/>
              <c:x val="1.8708223697101879E-2"/>
              <c:y val="0.1947017998994399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altLang="zh-CN" sz="14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altLang="zh-CN"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365409648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en-US" altLang="zh-CN" sz="1400" b="0" i="0" u="none" strike="noStrike" kern="1200" baseline="0">
          <a:solidFill>
            <a:schemeClr val="tx1"/>
          </a:solidFill>
          <a:latin typeface="Times New Roman" panose="02020603050405020304" pitchFamily="18" charset="0"/>
          <a:ea typeface="+mn-ea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502346953846016"/>
          <c:y val="3.4211606239725523E-2"/>
          <c:w val="0.74437941476620961"/>
          <c:h val="0.78343699170536119"/>
        </c:manualLayout>
      </c:layout>
      <c:scatterChart>
        <c:scatterStyle val="lineMarker"/>
        <c:varyColors val="0"/>
        <c:ser>
          <c:idx val="2"/>
          <c:order val="0"/>
          <c:tx>
            <c:strRef>
              <c:f>小论文!$AC$54</c:f>
              <c:strCache>
                <c:ptCount val="1"/>
                <c:pt idx="0">
                  <c:v>AABB+KDT</c:v>
                </c:pt>
              </c:strCache>
            </c:strRef>
          </c:tx>
          <c:spPr>
            <a:ln w="19050" cap="rnd">
              <a:solidFill>
                <a:srgbClr val="0000F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00FF"/>
              </a:solidFill>
              <a:ln w="9525">
                <a:solidFill>
                  <a:srgbClr val="0000FF"/>
                </a:solidFill>
              </a:ln>
              <a:effectLst/>
            </c:spPr>
          </c:marker>
          <c:xVal>
            <c:numRef>
              <c:f>小论文!$U$43:$U$49</c:f>
              <c:numCache>
                <c:formatCode>General</c:formatCode>
                <c:ptCount val="7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50</c:v>
                </c:pt>
                <c:pt idx="4">
                  <c:v>100</c:v>
                </c:pt>
                <c:pt idx="5">
                  <c:v>500</c:v>
                </c:pt>
                <c:pt idx="6">
                  <c:v>1000</c:v>
                </c:pt>
              </c:numCache>
            </c:numRef>
          </c:xVal>
          <c:yVal>
            <c:numRef>
              <c:f>小论文!$V$43:$V$49</c:f>
              <c:numCache>
                <c:formatCode>0.00E+00</c:formatCode>
                <c:ptCount val="7"/>
                <c:pt idx="0">
                  <c:v>1.4348680289328262</c:v>
                </c:pt>
                <c:pt idx="1">
                  <c:v>2.7207453215157167</c:v>
                </c:pt>
                <c:pt idx="2">
                  <c:v>3.4435155017950096</c:v>
                </c:pt>
                <c:pt idx="3">
                  <c:v>7.6741594958115229</c:v>
                </c:pt>
                <c:pt idx="4">
                  <c:v>13.574402943018958</c:v>
                </c:pt>
                <c:pt idx="5">
                  <c:v>30.153380611625614</c:v>
                </c:pt>
                <c:pt idx="6">
                  <c:v>50.060781039725988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E32-441B-A5FF-346266706441}"/>
            </c:ext>
          </c:extLst>
        </c:ser>
        <c:ser>
          <c:idx val="0"/>
          <c:order val="1"/>
          <c:tx>
            <c:strRef>
              <c:f>小论文!$AA$54</c:f>
              <c:strCache>
                <c:ptCount val="1"/>
                <c:pt idx="0">
                  <c:v>AABB+KDT+DP+PA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小论文!$U$43:$U$49</c:f>
              <c:numCache>
                <c:formatCode>General</c:formatCode>
                <c:ptCount val="7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50</c:v>
                </c:pt>
                <c:pt idx="4">
                  <c:v>100</c:v>
                </c:pt>
                <c:pt idx="5">
                  <c:v>500</c:v>
                </c:pt>
                <c:pt idx="6">
                  <c:v>1000</c:v>
                </c:pt>
              </c:numCache>
            </c:numRef>
          </c:xVal>
          <c:yVal>
            <c:numRef>
              <c:f>小论文!$X$43:$X$49</c:f>
              <c:numCache>
                <c:formatCode>0.00E+00</c:formatCode>
                <c:ptCount val="7"/>
                <c:pt idx="0">
                  <c:v>0.51048189490879403</c:v>
                </c:pt>
                <c:pt idx="1">
                  <c:v>0.61465342811650781</c:v>
                </c:pt>
                <c:pt idx="2">
                  <c:v>0.63736019570498914</c:v>
                </c:pt>
                <c:pt idx="3">
                  <c:v>0.71377708023783459</c:v>
                </c:pt>
                <c:pt idx="4">
                  <c:v>0.83724401370529999</c:v>
                </c:pt>
                <c:pt idx="5">
                  <c:v>1.1755009570982227</c:v>
                </c:pt>
                <c:pt idx="6">
                  <c:v>1.5660821605292528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E32-441B-A5FF-3462667064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5409648"/>
        <c:axId val="1365405488"/>
      </c:scatterChart>
      <c:valAx>
        <c:axId val="1365409648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altLang="zh-CN"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</a:rPr>
                  <a:t>N</a:t>
                </a:r>
                <a:r>
                  <a:rPr lang="en-US" altLang="zh-CN" baseline="-25000">
                    <a:solidFill>
                      <a:sysClr val="windowText" lastClr="000000"/>
                    </a:solidFill>
                  </a:rPr>
                  <a:t>tri</a:t>
                </a:r>
                <a:r>
                  <a:rPr lang="en-US" altLang="zh-CN">
                    <a:solidFill>
                      <a:sysClr val="windowText" lastClr="000000"/>
                    </a:solidFill>
                  </a:rPr>
                  <a:t> (</a:t>
                </a:r>
                <a:r>
                  <a:rPr lang="en-US" altLang="zh-CN">
                    <a:solidFill>
                      <a:sysClr val="windowText" lastClr="000000"/>
                    </a:solidFill>
                    <a:latin typeface="+mn-lt"/>
                  </a:rPr>
                  <a:t>x</a:t>
                </a:r>
                <a:r>
                  <a:rPr lang="en-US" altLang="zh-CN">
                    <a:solidFill>
                      <a:sysClr val="windowText" lastClr="000000"/>
                    </a:solidFill>
                  </a:rPr>
                  <a:t>10</a:t>
                </a:r>
                <a:r>
                  <a:rPr lang="en-US" altLang="zh-CN" baseline="30000">
                    <a:solidFill>
                      <a:sysClr val="windowText" lastClr="000000"/>
                    </a:solidFill>
                  </a:rPr>
                  <a:t>3</a:t>
                </a:r>
                <a:r>
                  <a:rPr lang="en-US" altLang="zh-CN">
                    <a:solidFill>
                      <a:sysClr val="windowText" lastClr="000000"/>
                    </a:solidFill>
                  </a:rPr>
                  <a:t>)</a:t>
                </a:r>
                <a:endParaRPr lang="zh-CN" altLang="en-US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altLang="zh-CN" sz="14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altLang="zh-CN"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365405488"/>
        <c:crosses val="autoZero"/>
        <c:crossBetween val="midCat"/>
      </c:valAx>
      <c:valAx>
        <c:axId val="1365405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altLang="zh-CN"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400" b="0" i="0" u="none" strike="noStrike" baseline="0">
                    <a:effectLst/>
                  </a:rPr>
                  <a:t>T</a:t>
                </a:r>
                <a:r>
                  <a:rPr lang="en-US" altLang="zh-CN" sz="1400" b="0" i="0" u="none" strike="noStrike" baseline="-25000">
                    <a:effectLst/>
                  </a:rPr>
                  <a:t>total</a:t>
                </a:r>
                <a:r>
                  <a:rPr lang="en-US" altLang="zh-CN" sz="1400" b="0" i="0" u="none" strike="noStrike" baseline="0">
                    <a:effectLst/>
                  </a:rPr>
                  <a:t>/N</a:t>
                </a:r>
                <a:r>
                  <a:rPr lang="en-US" altLang="zh-CN" sz="1400" b="0" i="0" u="none" strike="noStrike" baseline="-25000">
                    <a:effectLst/>
                  </a:rPr>
                  <a:t>cells</a:t>
                </a:r>
                <a:r>
                  <a:rPr lang="en-US" altLang="zh-CN" sz="1400" b="0" i="0" u="none" strike="noStrike" baseline="0">
                    <a:effectLst/>
                  </a:rPr>
                  <a:t> </a:t>
                </a:r>
                <a:r>
                  <a:rPr lang="en-US" altLang="zh-CN" sz="1400" b="0" i="0" baseline="0">
                    <a:solidFill>
                      <a:sysClr val="windowText" lastClr="000000"/>
                    </a:solidFill>
                    <a:effectLst/>
                  </a:rPr>
                  <a:t>(sec</a:t>
                </a:r>
                <a:r>
                  <a:rPr lang="en-US" altLang="zh-CN" sz="1400" b="0" i="0" baseline="0">
                    <a:solidFill>
                      <a:sysClr val="windowText" lastClr="000000"/>
                    </a:solidFill>
                    <a:effectLst/>
                    <a:latin typeface="+mn-lt"/>
                  </a:rPr>
                  <a:t>x</a:t>
                </a:r>
                <a:r>
                  <a:rPr lang="en-US" altLang="zh-CN" sz="1400" b="0" i="0" baseline="0">
                    <a:solidFill>
                      <a:sysClr val="windowText" lastClr="000000"/>
                    </a:solidFill>
                    <a:effectLst/>
                  </a:rPr>
                  <a:t>10</a:t>
                </a:r>
                <a:r>
                  <a:rPr lang="en-US" altLang="zh-CN" sz="1400" b="0" i="0" baseline="30000">
                    <a:solidFill>
                      <a:sysClr val="windowText" lastClr="000000"/>
                    </a:solidFill>
                    <a:effectLst/>
                  </a:rPr>
                  <a:t>-6</a:t>
                </a:r>
                <a:r>
                  <a:rPr lang="en-US" altLang="zh-CN" sz="1400" b="0" i="0" baseline="0">
                    <a:solidFill>
                      <a:sysClr val="windowText" lastClr="000000"/>
                    </a:solidFill>
                    <a:effectLst/>
                  </a:rPr>
                  <a:t>)</a:t>
                </a:r>
                <a:endParaRPr lang="zh-CN" altLang="zh-CN" sz="1400">
                  <a:solidFill>
                    <a:sysClr val="windowText" lastClr="000000"/>
                  </a:solidFill>
                  <a:effectLst/>
                </a:endParaRPr>
              </a:p>
            </c:rich>
          </c:tx>
          <c:layout>
            <c:manualLayout>
              <c:xMode val="edge"/>
              <c:yMode val="edge"/>
              <c:x val="1.8708223697101879E-2"/>
              <c:y val="0.1947017998994399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altLang="zh-CN" sz="14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altLang="zh-CN"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365409648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en-US" altLang="zh-CN" sz="1400" b="0" i="0" u="none" strike="noStrike" kern="1200" baseline="0">
          <a:solidFill>
            <a:schemeClr val="tx1"/>
          </a:solidFill>
          <a:latin typeface="Times New Roman" panose="02020603050405020304" pitchFamily="18" charset="0"/>
          <a:ea typeface="+mn-ea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502346953846016"/>
          <c:y val="3.4211606239725523E-2"/>
          <c:w val="0.74437941476620961"/>
          <c:h val="0.78343699170536119"/>
        </c:manualLayout>
      </c:layout>
      <c:scatterChart>
        <c:scatterStyle val="lineMarker"/>
        <c:varyColors val="0"/>
        <c:ser>
          <c:idx val="2"/>
          <c:order val="0"/>
          <c:tx>
            <c:strRef>
              <c:f>小论文!$AC$54</c:f>
              <c:strCache>
                <c:ptCount val="1"/>
                <c:pt idx="0">
                  <c:v>AABB+KDT</c:v>
                </c:pt>
              </c:strCache>
            </c:strRef>
          </c:tx>
          <c:spPr>
            <a:ln w="19050" cap="rnd">
              <a:solidFill>
                <a:srgbClr val="00FF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FF00"/>
              </a:solidFill>
              <a:ln w="9525">
                <a:solidFill>
                  <a:srgbClr val="00FF00"/>
                </a:solidFill>
              </a:ln>
              <a:effectLst/>
            </c:spPr>
          </c:marker>
          <c:xVal>
            <c:numRef>
              <c:f>小论文!$U$61:$U$67</c:f>
              <c:numCache>
                <c:formatCode>General</c:formatCode>
                <c:ptCount val="7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50</c:v>
                </c:pt>
                <c:pt idx="4">
                  <c:v>100</c:v>
                </c:pt>
                <c:pt idx="5">
                  <c:v>500</c:v>
                </c:pt>
                <c:pt idx="6">
                  <c:v>1000</c:v>
                </c:pt>
              </c:numCache>
            </c:numRef>
          </c:xVal>
          <c:yVal>
            <c:numRef>
              <c:f>小论文!$AC$61:$AC$67</c:f>
              <c:numCache>
                <c:formatCode>0.00E+00</c:formatCode>
                <c:ptCount val="7"/>
                <c:pt idx="0">
                  <c:v>2.809949889993451</c:v>
                </c:pt>
                <c:pt idx="1">
                  <c:v>4.23930084980356</c:v>
                </c:pt>
                <c:pt idx="2">
                  <c:v>4.966098191534706</c:v>
                </c:pt>
                <c:pt idx="3">
                  <c:v>9.2706549770535442</c:v>
                </c:pt>
                <c:pt idx="4">
                  <c:v>15.291390666556731</c:v>
                </c:pt>
                <c:pt idx="5">
                  <c:v>32.210507286547504</c:v>
                </c:pt>
                <c:pt idx="6">
                  <c:v>52.510869462788946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EE-4F5A-9451-6796E3B0D914}"/>
            </c:ext>
          </c:extLst>
        </c:ser>
        <c:ser>
          <c:idx val="1"/>
          <c:order val="1"/>
          <c:tx>
            <c:strRef>
              <c:f>小论文!$AB$54</c:f>
              <c:strCache>
                <c:ptCount val="1"/>
                <c:pt idx="0">
                  <c:v>AABB+KDT+DP</c:v>
                </c:pt>
              </c:strCache>
            </c:strRef>
          </c:tx>
          <c:spPr>
            <a:ln w="19050" cap="rnd">
              <a:solidFill>
                <a:srgbClr val="0000F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00FF"/>
              </a:solidFill>
              <a:ln w="9525">
                <a:solidFill>
                  <a:srgbClr val="0000FF"/>
                </a:solidFill>
              </a:ln>
              <a:effectLst/>
            </c:spPr>
          </c:marker>
          <c:xVal>
            <c:numRef>
              <c:f>小论文!$U$61:$U$67</c:f>
              <c:numCache>
                <c:formatCode>General</c:formatCode>
                <c:ptCount val="7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50</c:v>
                </c:pt>
                <c:pt idx="4">
                  <c:v>100</c:v>
                </c:pt>
                <c:pt idx="5">
                  <c:v>500</c:v>
                </c:pt>
                <c:pt idx="6">
                  <c:v>1000</c:v>
                </c:pt>
              </c:numCache>
            </c:numRef>
          </c:xVal>
          <c:yVal>
            <c:numRef>
              <c:f>小论文!$AB$61:$AB$67</c:f>
              <c:numCache>
                <c:formatCode>0.00E+00</c:formatCode>
                <c:ptCount val="7"/>
                <c:pt idx="0">
                  <c:v>2.2074892752812709</c:v>
                </c:pt>
                <c:pt idx="1">
                  <c:v>3.0280720355739712</c:v>
                </c:pt>
                <c:pt idx="2">
                  <c:v>3.5010549639072659</c:v>
                </c:pt>
                <c:pt idx="3">
                  <c:v>5.9594050900330533</c:v>
                </c:pt>
                <c:pt idx="4">
                  <c:v>9.0906850016022389</c:v>
                </c:pt>
                <c:pt idx="5">
                  <c:v>19.035100725738264</c:v>
                </c:pt>
                <c:pt idx="6">
                  <c:v>30.31199138789432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8EE-4F5A-9451-6796E3B0D914}"/>
            </c:ext>
          </c:extLst>
        </c:ser>
        <c:ser>
          <c:idx val="0"/>
          <c:order val="2"/>
          <c:tx>
            <c:strRef>
              <c:f>小论文!$AA$54</c:f>
              <c:strCache>
                <c:ptCount val="1"/>
                <c:pt idx="0">
                  <c:v>AABB+KDT+DP+PA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小论文!$U$61:$U$67</c:f>
              <c:numCache>
                <c:formatCode>General</c:formatCode>
                <c:ptCount val="7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50</c:v>
                </c:pt>
                <c:pt idx="4">
                  <c:v>100</c:v>
                </c:pt>
                <c:pt idx="5">
                  <c:v>500</c:v>
                </c:pt>
                <c:pt idx="6">
                  <c:v>1000</c:v>
                </c:pt>
              </c:numCache>
            </c:numRef>
          </c:xVal>
          <c:yVal>
            <c:numRef>
              <c:f>小论文!$AA$61:$AA$67</c:f>
              <c:numCache>
                <c:formatCode>0.00E+00</c:formatCode>
                <c:ptCount val="7"/>
                <c:pt idx="0">
                  <c:v>1.4210712209623182</c:v>
                </c:pt>
                <c:pt idx="1">
                  <c:v>1.5908676963015491</c:v>
                </c:pt>
                <c:pt idx="2">
                  <c:v>1.5756960393817785</c:v>
                </c:pt>
                <c:pt idx="3">
                  <c:v>1.7612132689892155</c:v>
                </c:pt>
                <c:pt idx="4">
                  <c:v>1.831736903081143</c:v>
                </c:pt>
                <c:pt idx="5">
                  <c:v>2.3287386384938276</c:v>
                </c:pt>
                <c:pt idx="6">
                  <c:v>2.5577846174833105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8EE-4F5A-9451-6796E3B0D9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5409648"/>
        <c:axId val="1365405488"/>
      </c:scatterChart>
      <c:valAx>
        <c:axId val="1365409648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altLang="zh-CN"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</a:rPr>
                  <a:t>N</a:t>
                </a:r>
                <a:r>
                  <a:rPr lang="en-US" altLang="zh-CN" baseline="-25000">
                    <a:solidFill>
                      <a:sysClr val="windowText" lastClr="000000"/>
                    </a:solidFill>
                  </a:rPr>
                  <a:t>tri</a:t>
                </a:r>
                <a:r>
                  <a:rPr lang="en-US" altLang="zh-CN">
                    <a:solidFill>
                      <a:sysClr val="windowText" lastClr="000000"/>
                    </a:solidFill>
                  </a:rPr>
                  <a:t> (</a:t>
                </a:r>
                <a:r>
                  <a:rPr lang="en-US" altLang="zh-CN">
                    <a:solidFill>
                      <a:sysClr val="windowText" lastClr="000000"/>
                    </a:solidFill>
                    <a:latin typeface="+mn-lt"/>
                  </a:rPr>
                  <a:t>x</a:t>
                </a:r>
                <a:r>
                  <a:rPr lang="en-US" altLang="zh-CN">
                    <a:solidFill>
                      <a:sysClr val="windowText" lastClr="000000"/>
                    </a:solidFill>
                  </a:rPr>
                  <a:t>10</a:t>
                </a:r>
                <a:r>
                  <a:rPr lang="en-US" altLang="zh-CN" baseline="30000">
                    <a:solidFill>
                      <a:sysClr val="windowText" lastClr="000000"/>
                    </a:solidFill>
                  </a:rPr>
                  <a:t>3</a:t>
                </a:r>
                <a:r>
                  <a:rPr lang="en-US" altLang="zh-CN">
                    <a:solidFill>
                      <a:sysClr val="windowText" lastClr="000000"/>
                    </a:solidFill>
                  </a:rPr>
                  <a:t>)</a:t>
                </a:r>
                <a:endParaRPr lang="zh-CN" altLang="en-US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altLang="zh-CN" sz="14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altLang="zh-CN"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365405488"/>
        <c:crosses val="autoZero"/>
        <c:crossBetween val="midCat"/>
      </c:valAx>
      <c:valAx>
        <c:axId val="1365405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altLang="zh-CN"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400" b="0" i="0" u="none" strike="noStrike" baseline="0">
                    <a:effectLst/>
                  </a:rPr>
                  <a:t>T</a:t>
                </a:r>
                <a:r>
                  <a:rPr lang="en-US" altLang="zh-CN" sz="1400" b="0" i="0" u="none" strike="noStrike" baseline="-25000">
                    <a:effectLst/>
                  </a:rPr>
                  <a:t>total</a:t>
                </a:r>
                <a:r>
                  <a:rPr lang="en-US" altLang="zh-CN" sz="1400" b="0" i="0" u="none" strike="noStrike" baseline="0">
                    <a:effectLst/>
                  </a:rPr>
                  <a:t>/N</a:t>
                </a:r>
                <a:r>
                  <a:rPr lang="en-US" altLang="zh-CN" sz="1400" b="0" i="0" u="none" strike="noStrike" baseline="-25000">
                    <a:effectLst/>
                  </a:rPr>
                  <a:t>cells</a:t>
                </a:r>
                <a:r>
                  <a:rPr lang="en-US" altLang="zh-CN" sz="1400" b="0" i="0" u="none" strike="noStrike" baseline="0">
                    <a:effectLst/>
                  </a:rPr>
                  <a:t> </a:t>
                </a:r>
                <a:r>
                  <a:rPr lang="en-US" altLang="zh-CN" sz="1400" b="0" i="0" baseline="0">
                    <a:solidFill>
                      <a:sysClr val="windowText" lastClr="000000"/>
                    </a:solidFill>
                    <a:effectLst/>
                  </a:rPr>
                  <a:t>(sec</a:t>
                </a:r>
                <a:r>
                  <a:rPr lang="en-US" altLang="zh-CN" sz="1400" b="0" i="0" baseline="0">
                    <a:solidFill>
                      <a:sysClr val="windowText" lastClr="000000"/>
                    </a:solidFill>
                    <a:effectLst/>
                    <a:latin typeface="+mn-lt"/>
                  </a:rPr>
                  <a:t>x</a:t>
                </a:r>
                <a:r>
                  <a:rPr lang="en-US" altLang="zh-CN" sz="1400" b="0" i="0" baseline="0">
                    <a:solidFill>
                      <a:sysClr val="windowText" lastClr="000000"/>
                    </a:solidFill>
                    <a:effectLst/>
                  </a:rPr>
                  <a:t>10</a:t>
                </a:r>
                <a:r>
                  <a:rPr lang="en-US" altLang="zh-CN" sz="1400" b="0" i="0" baseline="30000">
                    <a:solidFill>
                      <a:sysClr val="windowText" lastClr="000000"/>
                    </a:solidFill>
                    <a:effectLst/>
                  </a:rPr>
                  <a:t>-6</a:t>
                </a:r>
                <a:r>
                  <a:rPr lang="en-US" altLang="zh-CN" sz="1400" b="0" i="0" baseline="0">
                    <a:solidFill>
                      <a:sysClr val="windowText" lastClr="000000"/>
                    </a:solidFill>
                    <a:effectLst/>
                  </a:rPr>
                  <a:t>)</a:t>
                </a:r>
                <a:endParaRPr lang="zh-CN" altLang="zh-CN" sz="1400">
                  <a:solidFill>
                    <a:sysClr val="windowText" lastClr="000000"/>
                  </a:solidFill>
                  <a:effectLst/>
                </a:endParaRPr>
              </a:p>
            </c:rich>
          </c:tx>
          <c:layout>
            <c:manualLayout>
              <c:xMode val="edge"/>
              <c:yMode val="edge"/>
              <c:x val="1.8708223697101879E-2"/>
              <c:y val="0.1947017998994399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altLang="zh-CN" sz="14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altLang="zh-CN"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365409648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en-US" altLang="zh-CN" sz="1400" b="0" i="0" u="none" strike="noStrike" kern="1200" baseline="0">
          <a:solidFill>
            <a:schemeClr val="tx1"/>
          </a:solidFill>
          <a:latin typeface="Times New Roman" panose="02020603050405020304" pitchFamily="18" charset="0"/>
          <a:ea typeface="+mn-ea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709782594687938"/>
          <c:y val="9.9745188101487317E-2"/>
          <c:w val="0.83896645514122092"/>
          <c:h val="0.77304826480023325"/>
        </c:manualLayout>
      </c:layout>
      <c:barChart>
        <c:barDir val="col"/>
        <c:grouping val="percentStacked"/>
        <c:varyColors val="0"/>
        <c:ser>
          <c:idx val="1"/>
          <c:order val="0"/>
          <c:tx>
            <c:v>单元类型判断</c:v>
          </c:tx>
          <c:spPr>
            <a:solidFill>
              <a:srgbClr val="0000FF"/>
            </a:solidFill>
            <a:ln>
              <a:noFill/>
            </a:ln>
            <a:effectLst/>
          </c:spPr>
          <c:invertIfNegative val="0"/>
          <c:cat>
            <c:numRef>
              <c:f>小论文!$U$82:$U$88</c:f>
              <c:numCache>
                <c:formatCode>General</c:formatCode>
                <c:ptCount val="7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50</c:v>
                </c:pt>
                <c:pt idx="4">
                  <c:v>100</c:v>
                </c:pt>
                <c:pt idx="5">
                  <c:v>500</c:v>
                </c:pt>
                <c:pt idx="6">
                  <c:v>1000</c:v>
                </c:pt>
              </c:numCache>
            </c:numRef>
          </c:cat>
          <c:val>
            <c:numRef>
              <c:f>小论文!$Z$82:$Z$88</c:f>
              <c:numCache>
                <c:formatCode>0.00_ </c:formatCode>
                <c:ptCount val="7"/>
                <c:pt idx="0">
                  <c:v>4.2300000000000004</c:v>
                </c:pt>
                <c:pt idx="1">
                  <c:v>7.38</c:v>
                </c:pt>
                <c:pt idx="2">
                  <c:v>9.2200000000000006</c:v>
                </c:pt>
                <c:pt idx="3">
                  <c:v>19.86</c:v>
                </c:pt>
                <c:pt idx="4">
                  <c:v>33.909999999999997</c:v>
                </c:pt>
                <c:pt idx="5">
                  <c:v>70.36</c:v>
                </c:pt>
                <c:pt idx="6">
                  <c:v>115.05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A9-47A2-AB30-48CAE27ED6AC}"/>
            </c:ext>
          </c:extLst>
        </c:ser>
        <c:ser>
          <c:idx val="2"/>
          <c:order val="1"/>
          <c:tx>
            <c:v>其他</c:v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小论文!$U$82:$U$88</c:f>
              <c:numCache>
                <c:formatCode>General</c:formatCode>
                <c:ptCount val="7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50</c:v>
                </c:pt>
                <c:pt idx="4">
                  <c:v>100</c:v>
                </c:pt>
                <c:pt idx="5">
                  <c:v>500</c:v>
                </c:pt>
                <c:pt idx="6">
                  <c:v>1000</c:v>
                </c:pt>
              </c:numCache>
            </c:numRef>
          </c:cat>
          <c:val>
            <c:numRef>
              <c:f>小论文!$Y$82:$Y$88</c:f>
              <c:numCache>
                <c:formatCode>0.0</c:formatCode>
                <c:ptCount val="7"/>
                <c:pt idx="0">
                  <c:v>1.88</c:v>
                </c:pt>
                <c:pt idx="1">
                  <c:v>2</c:v>
                </c:pt>
                <c:pt idx="2">
                  <c:v>2.0000000000000009</c:v>
                </c:pt>
                <c:pt idx="3">
                  <c:v>2.09</c:v>
                </c:pt>
                <c:pt idx="4">
                  <c:v>2.0700000000000038</c:v>
                </c:pt>
                <c:pt idx="5">
                  <c:v>1.980000000000004</c:v>
                </c:pt>
                <c:pt idx="6">
                  <c:v>1.9699999999999989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5A9-47A2-AB30-48CAE27ED6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35027119"/>
        <c:axId val="1935020463"/>
      </c:barChart>
      <c:catAx>
        <c:axId val="1935027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35020463"/>
        <c:crosses val="autoZero"/>
        <c:auto val="1"/>
        <c:lblAlgn val="ctr"/>
        <c:lblOffset val="100"/>
        <c:noMultiLvlLbl val="0"/>
      </c:catAx>
      <c:valAx>
        <c:axId val="1935020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noFill/>
              <a:round/>
            </a:ln>
            <a:effectLst/>
          </c:spPr>
        </c:minorGridlines>
        <c:numFmt formatCode="0%" sourceLinked="0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35027119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43743314818871859"/>
          <c:y val="5.7815689705453398E-4"/>
          <c:w val="0.56256674525106076"/>
          <c:h val="0.1061063721201516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709782594687938"/>
          <c:y val="8.5856299212598422E-2"/>
          <c:w val="0.84031624933953619"/>
          <c:h val="0.7869371536891222"/>
        </c:manualLayout>
      </c:layout>
      <c:barChart>
        <c:barDir val="col"/>
        <c:grouping val="percentStacked"/>
        <c:varyColors val="0"/>
        <c:ser>
          <c:idx val="1"/>
          <c:order val="0"/>
          <c:tx>
            <c:v>单元类型判断</c:v>
          </c:tx>
          <c:spPr>
            <a:solidFill>
              <a:srgbClr val="0000FF"/>
            </a:solidFill>
            <a:ln>
              <a:noFill/>
            </a:ln>
            <a:effectLst/>
          </c:spPr>
          <c:invertIfNegative val="0"/>
          <c:cat>
            <c:numRef>
              <c:f>小论文!$U$90:$U$94</c:f>
              <c:numCache>
                <c:formatCode>0.0</c:formatCode>
                <c:ptCount val="5"/>
                <c:pt idx="0">
                  <c:v>0.142316</c:v>
                </c:pt>
                <c:pt idx="1">
                  <c:v>0.54747599999999996</c:v>
                </c:pt>
                <c:pt idx="2">
                  <c:v>2.1744159999999999</c:v>
                </c:pt>
                <c:pt idx="3">
                  <c:v>8.6901840000000004</c:v>
                </c:pt>
                <c:pt idx="4">
                  <c:v>35.013452999999998</c:v>
                </c:pt>
              </c:numCache>
            </c:numRef>
          </c:cat>
          <c:val>
            <c:numRef>
              <c:f>小论文!$Z$90:$Z$94</c:f>
              <c:numCache>
                <c:formatCode>General</c:formatCode>
                <c:ptCount val="5"/>
                <c:pt idx="0">
                  <c:v>0.27999999999999997</c:v>
                </c:pt>
                <c:pt idx="1">
                  <c:v>1.06</c:v>
                </c:pt>
                <c:pt idx="2">
                  <c:v>4.2300000000000004</c:v>
                </c:pt>
                <c:pt idx="3">
                  <c:v>16.509999999999998</c:v>
                </c:pt>
                <c:pt idx="4">
                  <c:v>67.680000000000007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C3-4B7B-9C68-8A5EDB5CADA4}"/>
            </c:ext>
          </c:extLst>
        </c:ser>
        <c:ser>
          <c:idx val="2"/>
          <c:order val="1"/>
          <c:tx>
            <c:v>其他</c:v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小论文!$U$90:$U$94</c:f>
              <c:numCache>
                <c:formatCode>0.0</c:formatCode>
                <c:ptCount val="5"/>
                <c:pt idx="0">
                  <c:v>0.142316</c:v>
                </c:pt>
                <c:pt idx="1">
                  <c:v>0.54747599999999996</c:v>
                </c:pt>
                <c:pt idx="2">
                  <c:v>2.1744159999999999</c:v>
                </c:pt>
                <c:pt idx="3">
                  <c:v>8.6901840000000004</c:v>
                </c:pt>
                <c:pt idx="4">
                  <c:v>35.013452999999998</c:v>
                </c:pt>
              </c:numCache>
            </c:numRef>
          </c:cat>
          <c:val>
            <c:numRef>
              <c:f>小论文!$Y$90:$Y$94</c:f>
              <c:numCache>
                <c:formatCode>0.0</c:formatCode>
                <c:ptCount val="5"/>
                <c:pt idx="0">
                  <c:v>8.0000000000000016E-2</c:v>
                </c:pt>
                <c:pt idx="1">
                  <c:v>0.37999999999999989</c:v>
                </c:pt>
                <c:pt idx="2">
                  <c:v>1.88</c:v>
                </c:pt>
                <c:pt idx="3">
                  <c:v>8.9400000000000013</c:v>
                </c:pt>
                <c:pt idx="4">
                  <c:v>39.049999999999997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C3-4B7B-9C68-8A5EDB5CAD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35027119"/>
        <c:axId val="1935020463"/>
      </c:barChart>
      <c:catAx>
        <c:axId val="1935027119"/>
        <c:scaling>
          <c:orientation val="minMax"/>
        </c:scaling>
        <c:delete val="0"/>
        <c:axPos val="b"/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35020463"/>
        <c:crosses val="autoZero"/>
        <c:auto val="1"/>
        <c:lblAlgn val="ctr"/>
        <c:lblOffset val="100"/>
        <c:noMultiLvlLbl val="0"/>
      </c:catAx>
      <c:valAx>
        <c:axId val="1935020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noFill/>
              <a:round/>
            </a:ln>
            <a:effectLst/>
          </c:spPr>
        </c:minorGridlines>
        <c:numFmt formatCode="0%" sourceLinked="0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35027119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43743314818871859"/>
          <c:y val="5.7815689705453398E-4"/>
          <c:w val="0.5607667822209621"/>
          <c:h val="0.1061063721201516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103862</xdr:colOff>
      <xdr:row>39</xdr:row>
      <xdr:rowOff>141144</xdr:rowOff>
    </xdr:from>
    <xdr:to>
      <xdr:col>38</xdr:col>
      <xdr:colOff>465360</xdr:colOff>
      <xdr:row>57</xdr:row>
      <xdr:rowOff>104666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5D2BBA58-E470-49CB-B89E-7F9B9356D7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124307</xdr:colOff>
      <xdr:row>53</xdr:row>
      <xdr:rowOff>131327</xdr:rowOff>
    </xdr:from>
    <xdr:to>
      <xdr:col>32</xdr:col>
      <xdr:colOff>493118</xdr:colOff>
      <xdr:row>71</xdr:row>
      <xdr:rowOff>90614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C5BB7572-BA7A-4783-9DA1-22E53CD308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35</xdr:col>
      <xdr:colOff>603345</xdr:colOff>
      <xdr:row>39</xdr:row>
      <xdr:rowOff>65231</xdr:rowOff>
    </xdr:from>
    <xdr:to>
      <xdr:col>41</xdr:col>
      <xdr:colOff>315031</xdr:colOff>
      <xdr:row>57</xdr:row>
      <xdr:rowOff>27694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3BE25F3E-09EF-41C0-A27D-7813A0DF1C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33</xdr:col>
      <xdr:colOff>289212</xdr:colOff>
      <xdr:row>52</xdr:row>
      <xdr:rowOff>53879</xdr:rowOff>
    </xdr:from>
    <xdr:to>
      <xdr:col>39</xdr:col>
      <xdr:colOff>3012</xdr:colOff>
      <xdr:row>70</xdr:row>
      <xdr:rowOff>13168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51DB3B4A-E56C-42E6-B859-A23163E89C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31</xdr:col>
      <xdr:colOff>444885</xdr:colOff>
      <xdr:row>22</xdr:row>
      <xdr:rowOff>50416</xdr:rowOff>
    </xdr:from>
    <xdr:to>
      <xdr:col>37</xdr:col>
      <xdr:colOff>167151</xdr:colOff>
      <xdr:row>39</xdr:row>
      <xdr:rowOff>144786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7A1AA639-D579-4562-82E3-8819E8795D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378304</xdr:colOff>
      <xdr:row>21</xdr:row>
      <xdr:rowOff>113144</xdr:rowOff>
    </xdr:from>
    <xdr:to>
      <xdr:col>23</xdr:col>
      <xdr:colOff>600874</xdr:colOff>
      <xdr:row>39</xdr:row>
      <xdr:rowOff>45879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BC8F46F5-644B-4A3A-8E28-987086786E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25</xdr:col>
      <xdr:colOff>537248</xdr:colOff>
      <xdr:row>22</xdr:row>
      <xdr:rowOff>72350</xdr:rowOff>
    </xdr:from>
    <xdr:to>
      <xdr:col>31</xdr:col>
      <xdr:colOff>256435</xdr:colOff>
      <xdr:row>40</xdr:row>
      <xdr:rowOff>4314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E474D7A2-00FB-4D33-BDFC-953FCAC881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26</xdr:col>
      <xdr:colOff>517237</xdr:colOff>
      <xdr:row>74</xdr:row>
      <xdr:rowOff>17319</xdr:rowOff>
    </xdr:from>
    <xdr:to>
      <xdr:col>32</xdr:col>
      <xdr:colOff>499534</xdr:colOff>
      <xdr:row>91</xdr:row>
      <xdr:rowOff>25785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2550527D-93B8-4CC2-88BD-AE9957B2A7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33</xdr:col>
      <xdr:colOff>141239</xdr:colOff>
      <xdr:row>75</xdr:row>
      <xdr:rowOff>83513</xdr:rowOff>
    </xdr:from>
    <xdr:to>
      <xdr:col>39</xdr:col>
      <xdr:colOff>150668</xdr:colOff>
      <xdr:row>92</xdr:row>
      <xdr:rowOff>91979</xdr:rowOff>
    </xdr:to>
    <xdr:graphicFrame macro="">
      <xdr:nvGraphicFramePr>
        <xdr:cNvPr id="11" name="图表 10">
          <a:extLst>
            <a:ext uri="{FF2B5EF4-FFF2-40B4-BE49-F238E27FC236}">
              <a16:creationId xmlns:a16="http://schemas.microsoft.com/office/drawing/2014/main" id="{FEAC4A21-120A-4EB6-92EB-FDA6A42EA7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2"/>
  <sheetViews>
    <sheetView workbookViewId="0">
      <selection sqref="A1:B8"/>
    </sheetView>
  </sheetViews>
  <sheetFormatPr defaultRowHeight="14" x14ac:dyDescent="0.45"/>
  <cols>
    <col min="1" max="1" width="10.52734375" style="2" bestFit="1" customWidth="1"/>
    <col min="2" max="2" width="30.3515625" style="1" customWidth="1"/>
    <col min="3" max="3" width="13.87890625" style="2" customWidth="1"/>
    <col min="4" max="4" width="11.5859375" style="2" bestFit="1" customWidth="1"/>
    <col min="5" max="5" width="10.234375" style="2" bestFit="1" customWidth="1"/>
    <col min="6" max="6" width="8.29296875" style="2" bestFit="1" customWidth="1"/>
    <col min="7" max="7" width="8.9375" style="2" bestFit="1" customWidth="1"/>
    <col min="8" max="8" width="10.234375" style="2" bestFit="1" customWidth="1"/>
    <col min="9" max="9" width="8.29296875" style="2" bestFit="1" customWidth="1"/>
    <col min="10" max="10" width="8.9375" style="2" bestFit="1" customWidth="1"/>
    <col min="11" max="11" width="10.234375" style="2" bestFit="1" customWidth="1"/>
    <col min="12" max="12" width="8.29296875" style="2" bestFit="1" customWidth="1"/>
    <col min="13" max="17" width="8.9375" style="2"/>
    <col min="18" max="18" width="9.05859375" style="2" bestFit="1" customWidth="1"/>
    <col min="19" max="16384" width="8.9375" style="2"/>
  </cols>
  <sheetData>
    <row r="1" spans="1:22" x14ac:dyDescent="0.45">
      <c r="A1" s="107" t="s">
        <v>2</v>
      </c>
      <c r="B1" s="107"/>
      <c r="D1" s="2" t="s">
        <v>0</v>
      </c>
    </row>
    <row r="2" spans="1:22" ht="39" customHeight="1" x14ac:dyDescent="0.45">
      <c r="A2" s="2" t="s">
        <v>1</v>
      </c>
      <c r="B2" s="1" t="s">
        <v>6</v>
      </c>
      <c r="C2" s="2" t="s">
        <v>5</v>
      </c>
      <c r="D2" s="107" t="s">
        <v>8</v>
      </c>
      <c r="E2" s="107"/>
      <c r="F2" s="107"/>
      <c r="G2" s="107"/>
      <c r="H2" s="107"/>
      <c r="I2" s="107"/>
      <c r="J2" s="108" t="s">
        <v>13</v>
      </c>
      <c r="K2" s="108"/>
      <c r="L2" s="108"/>
      <c r="M2" s="107" t="s">
        <v>23</v>
      </c>
      <c r="N2" s="107"/>
      <c r="O2" s="107"/>
      <c r="P2" s="107"/>
      <c r="Q2" s="107"/>
      <c r="R2" s="107"/>
      <c r="S2" s="107"/>
      <c r="T2" s="107"/>
      <c r="U2" s="107"/>
      <c r="V2" s="107"/>
    </row>
    <row r="3" spans="1:22" x14ac:dyDescent="0.45">
      <c r="D3" s="2" t="s">
        <v>3</v>
      </c>
      <c r="G3" s="2" t="s">
        <v>4</v>
      </c>
      <c r="J3" s="2" t="s">
        <v>3</v>
      </c>
      <c r="M3" s="2" t="s">
        <v>3</v>
      </c>
      <c r="R3" s="2" t="s">
        <v>4</v>
      </c>
    </row>
    <row r="4" spans="1:22" x14ac:dyDescent="0.45">
      <c r="D4" s="2" t="s">
        <v>7</v>
      </c>
      <c r="E4" s="2" t="s">
        <v>10</v>
      </c>
      <c r="F4" s="2" t="s">
        <v>12</v>
      </c>
      <c r="G4" s="2" t="s">
        <v>7</v>
      </c>
      <c r="H4" s="2" t="s">
        <v>10</v>
      </c>
      <c r="I4" s="2" t="s">
        <v>12</v>
      </c>
      <c r="J4" s="2" t="s">
        <v>7</v>
      </c>
      <c r="K4" s="2" t="s">
        <v>10</v>
      </c>
      <c r="L4" s="2" t="s">
        <v>12</v>
      </c>
      <c r="M4" s="2" t="s">
        <v>7</v>
      </c>
      <c r="N4" s="2" t="s">
        <v>10</v>
      </c>
      <c r="O4" s="2" t="s">
        <v>12</v>
      </c>
      <c r="P4" s="2" t="s">
        <v>25</v>
      </c>
      <c r="Q4" s="2" t="s">
        <v>24</v>
      </c>
      <c r="R4" s="2" t="s">
        <v>7</v>
      </c>
      <c r="S4" s="2" t="s">
        <v>10</v>
      </c>
      <c r="T4" s="2" t="s">
        <v>12</v>
      </c>
      <c r="U4" s="2" t="s">
        <v>25</v>
      </c>
      <c r="V4" s="2" t="s">
        <v>24</v>
      </c>
    </row>
    <row r="5" spans="1:22" x14ac:dyDescent="0.45">
      <c r="A5" s="3">
        <v>44307</v>
      </c>
      <c r="B5" s="108" t="s">
        <v>9</v>
      </c>
      <c r="C5" s="2">
        <v>1</v>
      </c>
      <c r="D5" s="4">
        <v>148819</v>
      </c>
      <c r="E5" s="5">
        <f>AVERAGE(140.92,140.58)</f>
        <v>140.75</v>
      </c>
      <c r="F5" s="5">
        <f>AVERAGE(13.27,13.25)</f>
        <v>13.26</v>
      </c>
      <c r="G5" s="5"/>
      <c r="H5" s="5"/>
      <c r="I5" s="5"/>
      <c r="J5" s="4"/>
      <c r="K5" s="5"/>
      <c r="L5" s="5"/>
    </row>
    <row r="6" spans="1:22" x14ac:dyDescent="0.45">
      <c r="B6" s="108"/>
      <c r="C6" s="2">
        <v>2</v>
      </c>
      <c r="D6" s="4"/>
      <c r="E6" s="5">
        <f>AVERAGE(144.89,146.58)</f>
        <v>145.73500000000001</v>
      </c>
      <c r="F6" s="5" t="s">
        <v>11</v>
      </c>
      <c r="G6" s="5"/>
      <c r="H6" s="5"/>
      <c r="I6" s="5"/>
      <c r="J6" s="4"/>
      <c r="K6" s="5"/>
      <c r="L6" s="5"/>
    </row>
    <row r="7" spans="1:22" x14ac:dyDescent="0.45">
      <c r="B7" s="108"/>
      <c r="C7" s="2">
        <v>3</v>
      </c>
      <c r="D7" s="4">
        <v>144605</v>
      </c>
      <c r="E7" s="5">
        <f>AVERAGE(12.59,12.78)</f>
        <v>12.684999999999999</v>
      </c>
      <c r="F7" s="5">
        <f>AVERAGE(12.2,12.03)</f>
        <v>12.114999999999998</v>
      </c>
      <c r="G7" s="5"/>
      <c r="H7" s="5"/>
      <c r="I7" s="5"/>
      <c r="J7" s="4">
        <v>1550165</v>
      </c>
      <c r="K7" s="5">
        <v>11241.41</v>
      </c>
      <c r="L7" s="5" t="s">
        <v>14</v>
      </c>
    </row>
    <row r="8" spans="1:22" x14ac:dyDescent="0.45">
      <c r="B8" s="108"/>
      <c r="C8" s="2">
        <v>4</v>
      </c>
      <c r="D8" s="4"/>
      <c r="E8" s="5">
        <f>AVERAGE(20.12,20.38,20.7,20.2)</f>
        <v>20.350000000000001</v>
      </c>
      <c r="F8" s="5" t="s">
        <v>11</v>
      </c>
      <c r="G8" s="5"/>
      <c r="H8" s="5"/>
      <c r="I8" s="5"/>
      <c r="J8" s="4"/>
      <c r="K8" s="5"/>
      <c r="L8" s="5"/>
    </row>
    <row r="9" spans="1:22" x14ac:dyDescent="0.45">
      <c r="A9" s="3">
        <v>44309</v>
      </c>
      <c r="B9" s="108" t="s">
        <v>15</v>
      </c>
      <c r="C9" s="2">
        <v>1</v>
      </c>
      <c r="D9" s="4">
        <v>148819</v>
      </c>
      <c r="E9" s="5">
        <v>85.23</v>
      </c>
      <c r="F9" s="5">
        <v>8.81</v>
      </c>
      <c r="G9" s="5"/>
      <c r="H9" s="5"/>
      <c r="I9" s="5"/>
      <c r="J9" s="4"/>
      <c r="K9" s="5"/>
      <c r="L9" s="5"/>
    </row>
    <row r="10" spans="1:22" x14ac:dyDescent="0.45">
      <c r="B10" s="108"/>
      <c r="C10" s="2">
        <v>2</v>
      </c>
      <c r="D10" s="4"/>
      <c r="E10" s="5">
        <v>88.66</v>
      </c>
      <c r="F10" s="5" t="s">
        <v>11</v>
      </c>
      <c r="G10" s="5"/>
      <c r="H10" s="5"/>
      <c r="I10" s="5"/>
      <c r="J10" s="4"/>
      <c r="K10" s="5"/>
      <c r="L10" s="5"/>
    </row>
    <row r="11" spans="1:22" x14ac:dyDescent="0.45">
      <c r="B11" s="108"/>
      <c r="C11" s="2">
        <v>3</v>
      </c>
      <c r="D11" s="4">
        <v>144605</v>
      </c>
      <c r="E11" s="5">
        <v>8.5500000000000007</v>
      </c>
      <c r="F11" s="5">
        <v>7.97</v>
      </c>
      <c r="G11" s="5"/>
      <c r="H11" s="5"/>
      <c r="I11" s="5"/>
      <c r="J11" s="4"/>
      <c r="K11" s="5"/>
      <c r="L11" s="5"/>
    </row>
    <row r="12" spans="1:22" x14ac:dyDescent="0.45">
      <c r="B12" s="108"/>
      <c r="C12" s="2">
        <v>4</v>
      </c>
      <c r="D12" s="4"/>
      <c r="E12" s="5">
        <v>13.06</v>
      </c>
      <c r="F12" s="5" t="s">
        <v>11</v>
      </c>
      <c r="G12" s="5"/>
      <c r="H12" s="5"/>
      <c r="I12" s="5"/>
      <c r="J12" s="4"/>
      <c r="K12" s="5"/>
      <c r="L12" s="5"/>
    </row>
    <row r="13" spans="1:22" x14ac:dyDescent="0.45">
      <c r="A13" s="3">
        <v>44309</v>
      </c>
      <c r="B13" s="108" t="s">
        <v>16</v>
      </c>
      <c r="C13" s="2">
        <v>1</v>
      </c>
      <c r="D13" s="4">
        <v>148819</v>
      </c>
      <c r="E13" s="5">
        <v>17.16</v>
      </c>
      <c r="F13" s="5">
        <v>1.64</v>
      </c>
      <c r="G13" s="5"/>
      <c r="H13" s="5"/>
      <c r="I13" s="5"/>
      <c r="J13" s="4"/>
      <c r="K13" s="5"/>
      <c r="L13" s="5"/>
    </row>
    <row r="14" spans="1:22" x14ac:dyDescent="0.45">
      <c r="B14" s="108"/>
      <c r="C14" s="2">
        <v>2</v>
      </c>
      <c r="D14" s="4"/>
      <c r="E14" s="5">
        <v>18.27</v>
      </c>
      <c r="F14" s="5" t="s">
        <v>11</v>
      </c>
      <c r="G14" s="5"/>
      <c r="H14" s="5"/>
      <c r="I14" s="5"/>
      <c r="J14" s="4"/>
      <c r="K14" s="5"/>
      <c r="L14" s="5"/>
    </row>
    <row r="15" spans="1:22" x14ac:dyDescent="0.45">
      <c r="B15" s="108"/>
      <c r="C15" s="2">
        <v>3</v>
      </c>
      <c r="D15" s="4">
        <v>144605</v>
      </c>
      <c r="E15" s="5">
        <v>2.16</v>
      </c>
      <c r="F15" s="5">
        <v>1.67</v>
      </c>
      <c r="G15" s="5"/>
      <c r="H15" s="5"/>
      <c r="I15" s="5"/>
      <c r="J15" s="4"/>
      <c r="K15" s="5"/>
      <c r="L15" s="5"/>
    </row>
    <row r="16" spans="1:22" x14ac:dyDescent="0.45">
      <c r="B16" s="108"/>
      <c r="C16" s="2">
        <v>4</v>
      </c>
      <c r="D16" s="4"/>
      <c r="E16" s="5">
        <v>3.06</v>
      </c>
      <c r="F16" s="5" t="s">
        <v>11</v>
      </c>
      <c r="G16" s="5"/>
      <c r="H16" s="5"/>
      <c r="I16" s="5"/>
      <c r="J16" s="4"/>
      <c r="K16" s="5"/>
      <c r="L16" s="5"/>
    </row>
    <row r="17" spans="1:22" x14ac:dyDescent="0.45">
      <c r="A17" s="3">
        <v>44312</v>
      </c>
      <c r="B17" s="108" t="s">
        <v>17</v>
      </c>
      <c r="C17" s="2">
        <v>3</v>
      </c>
      <c r="D17" s="4">
        <v>148924</v>
      </c>
      <c r="E17" s="5">
        <v>2.44</v>
      </c>
      <c r="F17" s="5">
        <v>1.88</v>
      </c>
      <c r="G17" s="2">
        <v>2319981</v>
      </c>
      <c r="H17" s="5">
        <v>40.520000000000003</v>
      </c>
      <c r="I17" s="5">
        <v>30.05</v>
      </c>
      <c r="J17" s="4">
        <v>1964523</v>
      </c>
      <c r="K17" s="5">
        <v>700.5</v>
      </c>
      <c r="L17" s="5">
        <v>697.02</v>
      </c>
    </row>
    <row r="18" spans="1:22" x14ac:dyDescent="0.45">
      <c r="B18" s="108"/>
      <c r="C18" s="2">
        <v>4</v>
      </c>
      <c r="D18" s="4"/>
      <c r="E18" s="5">
        <v>3.39</v>
      </c>
      <c r="F18" s="5"/>
      <c r="H18" s="5">
        <v>55</v>
      </c>
      <c r="I18" s="5"/>
      <c r="J18" s="4"/>
      <c r="K18" s="5"/>
      <c r="L18" s="5"/>
    </row>
    <row r="19" spans="1:22" x14ac:dyDescent="0.45">
      <c r="B19" s="108" t="s">
        <v>19</v>
      </c>
      <c r="C19" s="6" t="s">
        <v>22</v>
      </c>
      <c r="H19" s="2">
        <v>29.28</v>
      </c>
      <c r="J19" s="4"/>
    </row>
    <row r="20" spans="1:22" x14ac:dyDescent="0.45">
      <c r="B20" s="108"/>
      <c r="C20" s="2" t="s">
        <v>18</v>
      </c>
      <c r="E20" s="2">
        <f>AVERAGE(21.02,20.84)</f>
        <v>20.93</v>
      </c>
      <c r="F20" s="5" t="s">
        <v>11</v>
      </c>
      <c r="J20" s="4"/>
    </row>
    <row r="21" spans="1:22" x14ac:dyDescent="0.45">
      <c r="B21" s="108"/>
      <c r="C21" s="2">
        <v>2</v>
      </c>
      <c r="E21" s="5">
        <v>19.89</v>
      </c>
      <c r="F21" s="5" t="s">
        <v>11</v>
      </c>
      <c r="J21" s="4"/>
    </row>
    <row r="22" spans="1:22" ht="27.35" customHeight="1" x14ac:dyDescent="0.45">
      <c r="B22" s="1" t="s">
        <v>20</v>
      </c>
      <c r="C22" s="2">
        <v>2</v>
      </c>
      <c r="E22" s="5">
        <f>AVERAGE(18.88,19.36,19.17)</f>
        <v>19.136666666666667</v>
      </c>
      <c r="F22" s="5" t="s">
        <v>11</v>
      </c>
      <c r="J22" s="4"/>
    </row>
    <row r="23" spans="1:22" ht="14" customHeight="1" x14ac:dyDescent="0.45">
      <c r="B23" s="108" t="s">
        <v>21</v>
      </c>
      <c r="C23" s="2">
        <v>1</v>
      </c>
      <c r="D23" s="2">
        <v>148819</v>
      </c>
      <c r="E23" s="2">
        <v>2.4700000000000002</v>
      </c>
      <c r="F23" s="2">
        <v>0.22</v>
      </c>
      <c r="G23" s="2">
        <v>2309866</v>
      </c>
      <c r="H23" s="2">
        <v>38.92</v>
      </c>
      <c r="I23" s="2">
        <v>3.52</v>
      </c>
      <c r="J23" s="4"/>
    </row>
    <row r="24" spans="1:22" x14ac:dyDescent="0.45">
      <c r="B24" s="108"/>
      <c r="C24" s="2">
        <v>2</v>
      </c>
      <c r="D24" s="2">
        <v>148819</v>
      </c>
      <c r="E24" s="2">
        <v>2.5299999999999998</v>
      </c>
      <c r="F24" s="5" t="s">
        <v>11</v>
      </c>
      <c r="G24" s="2">
        <v>2309866</v>
      </c>
      <c r="H24" s="2">
        <v>40.53</v>
      </c>
      <c r="I24" s="5" t="s">
        <v>11</v>
      </c>
      <c r="J24" s="4"/>
    </row>
    <row r="25" spans="1:22" x14ac:dyDescent="0.45">
      <c r="B25" s="108"/>
      <c r="C25" s="2">
        <v>3</v>
      </c>
      <c r="D25" s="2">
        <v>148924</v>
      </c>
      <c r="E25" s="2">
        <v>0.86</v>
      </c>
      <c r="F25" s="2">
        <v>0.28000000000000003</v>
      </c>
      <c r="G25" s="2">
        <v>2319981</v>
      </c>
      <c r="H25" s="2">
        <v>14.16</v>
      </c>
      <c r="I25" s="2">
        <v>3.7</v>
      </c>
      <c r="J25" s="4">
        <v>1964523</v>
      </c>
      <c r="K25" s="2">
        <v>21.25</v>
      </c>
      <c r="L25" s="2">
        <v>12.48</v>
      </c>
      <c r="M25" s="2">
        <v>1960134</v>
      </c>
      <c r="N25" s="2">
        <v>831.98</v>
      </c>
      <c r="O25" s="2">
        <v>86.31</v>
      </c>
      <c r="P25" s="7">
        <v>0.52300000000000002</v>
      </c>
      <c r="Q25" s="2">
        <v>726.67</v>
      </c>
      <c r="R25" s="2">
        <v>30200801</v>
      </c>
      <c r="S25" s="2">
        <v>2455.09</v>
      </c>
      <c r="T25" s="2">
        <v>1561.42</v>
      </c>
      <c r="U25" s="7">
        <v>0.56100000000000005</v>
      </c>
      <c r="V25" s="2">
        <v>724.36</v>
      </c>
    </row>
    <row r="26" spans="1:22" x14ac:dyDescent="0.45">
      <c r="B26" s="108"/>
      <c r="C26" s="2">
        <v>4</v>
      </c>
      <c r="D26" s="2">
        <v>148924</v>
      </c>
      <c r="E26" s="2">
        <v>0.9</v>
      </c>
      <c r="F26" s="5" t="s">
        <v>11</v>
      </c>
      <c r="G26" s="2">
        <v>2319981</v>
      </c>
      <c r="H26" s="2">
        <v>14.64</v>
      </c>
      <c r="I26" s="5" t="s">
        <v>11</v>
      </c>
      <c r="J26" s="4">
        <v>1964523</v>
      </c>
      <c r="K26" s="2">
        <v>26.64</v>
      </c>
      <c r="L26" s="2" t="s">
        <v>11</v>
      </c>
      <c r="M26" s="2">
        <v>1960134</v>
      </c>
      <c r="N26" s="2">
        <v>894.08</v>
      </c>
      <c r="O26" s="2" t="s">
        <v>11</v>
      </c>
      <c r="P26" s="2" t="s">
        <v>11</v>
      </c>
      <c r="Q26" s="2">
        <v>753.32</v>
      </c>
    </row>
    <row r="27" spans="1:22" x14ac:dyDescent="0.45">
      <c r="B27" s="108"/>
      <c r="C27" s="2">
        <v>5</v>
      </c>
      <c r="D27" s="2">
        <v>148924</v>
      </c>
      <c r="E27" s="2">
        <v>2.52</v>
      </c>
      <c r="F27" s="5" t="s">
        <v>11</v>
      </c>
      <c r="G27" s="2">
        <v>2319981</v>
      </c>
      <c r="H27" s="2">
        <v>35.39</v>
      </c>
      <c r="I27" s="5" t="s">
        <v>11</v>
      </c>
      <c r="J27" s="4"/>
    </row>
    <row r="28" spans="1:22" x14ac:dyDescent="0.45">
      <c r="B28" s="108"/>
      <c r="C28" s="2">
        <v>6</v>
      </c>
      <c r="D28" s="2">
        <v>148672</v>
      </c>
      <c r="E28" s="2">
        <v>31.89</v>
      </c>
      <c r="F28" s="5" t="s">
        <v>11</v>
      </c>
      <c r="G28" s="2">
        <v>2307283</v>
      </c>
      <c r="H28" s="2">
        <v>435.05</v>
      </c>
      <c r="I28" s="5" t="s">
        <v>11</v>
      </c>
      <c r="J28" s="4"/>
    </row>
    <row r="29" spans="1:22" x14ac:dyDescent="0.45">
      <c r="J29" s="4"/>
    </row>
    <row r="30" spans="1:22" x14ac:dyDescent="0.45">
      <c r="J30" s="4"/>
    </row>
    <row r="31" spans="1:22" x14ac:dyDescent="0.45">
      <c r="J31" s="4"/>
    </row>
    <row r="32" spans="1:22" x14ac:dyDescent="0.45">
      <c r="J32" s="4"/>
    </row>
  </sheetData>
  <mergeCells count="10">
    <mergeCell ref="M2:V2"/>
    <mergeCell ref="B23:B28"/>
    <mergeCell ref="J2:L2"/>
    <mergeCell ref="A1:B1"/>
    <mergeCell ref="B17:B18"/>
    <mergeCell ref="B19:B21"/>
    <mergeCell ref="B5:B8"/>
    <mergeCell ref="B9:B12"/>
    <mergeCell ref="B13:B16"/>
    <mergeCell ref="D2:I2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D827F-0457-4DA8-A7C4-C1E9F295AC11}">
  <dimension ref="A1:AI114"/>
  <sheetViews>
    <sheetView tabSelected="1" zoomScale="85" zoomScaleNormal="85" workbookViewId="0">
      <pane ySplit="1" topLeftCell="A59" activePane="bottomLeft" state="frozen"/>
      <selection pane="bottomLeft" activeCell="U94" sqref="U94"/>
    </sheetView>
  </sheetViews>
  <sheetFormatPr defaultRowHeight="12.7" x14ac:dyDescent="0.45"/>
  <cols>
    <col min="1" max="1" width="10.52734375" style="9" bestFit="1" customWidth="1"/>
    <col min="2" max="2" width="15.8203125" style="9" bestFit="1" customWidth="1"/>
    <col min="3" max="3" width="8.9375" style="9"/>
    <col min="4" max="4" width="12.87890625" style="9" customWidth="1"/>
    <col min="5" max="5" width="8.9375" style="9"/>
    <col min="6" max="6" width="7.87890625" style="9" bestFit="1" customWidth="1"/>
    <col min="7" max="7" width="2.5859375" style="9" bestFit="1" customWidth="1"/>
    <col min="8" max="8" width="10.87890625" style="9" customWidth="1"/>
    <col min="9" max="9" width="6.8203125" style="9" customWidth="1"/>
    <col min="10" max="10" width="8.87890625" style="9" bestFit="1" customWidth="1"/>
    <col min="11" max="11" width="12.5859375" style="9" customWidth="1"/>
    <col min="12" max="12" width="7.87890625" style="9" bestFit="1" customWidth="1"/>
    <col min="13" max="13" width="8.9375" style="9"/>
    <col min="14" max="14" width="9.17578125" style="9" bestFit="1" customWidth="1"/>
    <col min="15" max="15" width="8.41015625" style="37" bestFit="1" customWidth="1"/>
    <col min="16" max="16" width="8.41015625" style="38" customWidth="1"/>
    <col min="17" max="18" width="11" style="9" bestFit="1" customWidth="1"/>
    <col min="19" max="19" width="11" style="90" customWidth="1"/>
    <col min="20" max="27" width="8.9375" style="9"/>
    <col min="28" max="28" width="8.9375" style="9" customWidth="1"/>
    <col min="29" max="16384" width="8.9375" style="9"/>
  </cols>
  <sheetData>
    <row r="1" spans="1:19" s="42" customFormat="1" ht="25.7" thickBot="1" x14ac:dyDescent="0.5">
      <c r="C1" s="43" t="s">
        <v>27</v>
      </c>
      <c r="D1" s="43" t="s">
        <v>41</v>
      </c>
      <c r="E1" s="44" t="s">
        <v>48</v>
      </c>
      <c r="F1" s="43" t="s">
        <v>29</v>
      </c>
      <c r="G1" s="44" t="s">
        <v>47</v>
      </c>
      <c r="H1" s="43" t="s">
        <v>28</v>
      </c>
      <c r="I1" s="43" t="s">
        <v>30</v>
      </c>
      <c r="J1" s="43" t="s">
        <v>31</v>
      </c>
      <c r="K1" s="43" t="s">
        <v>32</v>
      </c>
      <c r="L1" s="43" t="s">
        <v>33</v>
      </c>
      <c r="M1" s="43" t="s">
        <v>34</v>
      </c>
      <c r="N1" s="43" t="s">
        <v>35</v>
      </c>
      <c r="O1" s="43" t="s">
        <v>42</v>
      </c>
      <c r="P1" s="42" t="s">
        <v>43</v>
      </c>
      <c r="Q1" s="54" t="s">
        <v>50</v>
      </c>
      <c r="R1" s="44" t="s">
        <v>51</v>
      </c>
      <c r="S1" s="44" t="s">
        <v>96</v>
      </c>
    </row>
    <row r="2" spans="1:19" ht="14" x14ac:dyDescent="0.45">
      <c r="A2" s="19">
        <v>44312</v>
      </c>
      <c r="B2" s="19"/>
      <c r="C2" s="109" t="s">
        <v>38</v>
      </c>
      <c r="D2" s="11">
        <v>13651</v>
      </c>
      <c r="E2" s="11" t="s">
        <v>26</v>
      </c>
      <c r="F2" s="8">
        <v>5</v>
      </c>
      <c r="G2" s="8">
        <v>1</v>
      </c>
      <c r="H2" s="11">
        <v>1452755</v>
      </c>
      <c r="I2" s="11">
        <v>42.48</v>
      </c>
      <c r="J2" s="11">
        <v>40.159999999999997</v>
      </c>
      <c r="K2" s="11">
        <v>0.36</v>
      </c>
      <c r="L2" s="11">
        <v>2.89</v>
      </c>
      <c r="M2" s="8">
        <f>J2-K2-L2-N2</f>
        <v>32.29</v>
      </c>
      <c r="N2" s="11">
        <v>4.62</v>
      </c>
      <c r="O2" s="20">
        <f>(N3-N2)/N3</f>
        <v>0.20754716981132051</v>
      </c>
      <c r="P2" s="21"/>
      <c r="Q2" s="55">
        <f>N2/H2</f>
        <v>3.1801645838424234E-6</v>
      </c>
      <c r="R2" s="55">
        <f>J2/H2</f>
        <v>2.7644028070803401E-5</v>
      </c>
      <c r="S2" s="55">
        <f>M2/H2</f>
        <v>2.2226734721270965E-5</v>
      </c>
    </row>
    <row r="3" spans="1:19" x14ac:dyDescent="0.45">
      <c r="A3" s="11"/>
      <c r="B3" s="11"/>
      <c r="C3" s="110"/>
      <c r="D3" s="11"/>
      <c r="E3" s="11"/>
      <c r="F3" s="11"/>
      <c r="G3" s="11">
        <v>2</v>
      </c>
      <c r="H3" s="11">
        <v>1452755</v>
      </c>
      <c r="I3" s="11">
        <v>43.64</v>
      </c>
      <c r="J3" s="11">
        <v>41.34</v>
      </c>
      <c r="K3" s="11">
        <v>0.34</v>
      </c>
      <c r="L3" s="11">
        <v>2.88</v>
      </c>
      <c r="M3" s="11">
        <v>32.29</v>
      </c>
      <c r="N3" s="11">
        <f>J3-K3-L3-M3</f>
        <v>5.8299999999999983</v>
      </c>
      <c r="O3" s="22"/>
      <c r="P3" s="21"/>
      <c r="Q3" s="55">
        <f t="shared" ref="Q3:Q60" si="0">N3/H3</f>
        <v>4.0130648319916288E-6</v>
      </c>
      <c r="R3" s="55">
        <f t="shared" ref="R3:R60" si="1">J3/H3</f>
        <v>2.8456277899577014E-5</v>
      </c>
      <c r="S3" s="55">
        <f t="shared" ref="S3:S66" si="2">M3/H3</f>
        <v>2.2226734721270965E-5</v>
      </c>
    </row>
    <row r="4" spans="1:19" x14ac:dyDescent="0.45">
      <c r="A4" s="11"/>
      <c r="B4" s="11"/>
      <c r="C4" s="110"/>
      <c r="D4" s="11"/>
      <c r="E4" s="11"/>
      <c r="F4" s="11"/>
      <c r="G4" s="8">
        <v>3</v>
      </c>
      <c r="H4" s="8">
        <v>1682418</v>
      </c>
      <c r="I4" s="8">
        <v>13.31</v>
      </c>
      <c r="J4" s="8">
        <v>10.69</v>
      </c>
      <c r="K4" s="8">
        <v>0.42</v>
      </c>
      <c r="L4" s="8">
        <v>3.44</v>
      </c>
      <c r="M4" s="8">
        <f>J4-K4-L4-N4</f>
        <v>1.0200000000000005</v>
      </c>
      <c r="N4" s="8">
        <v>5.81</v>
      </c>
      <c r="O4" s="20">
        <f>(N5-N4)/N5</f>
        <v>0.28094059405940597</v>
      </c>
      <c r="P4" s="21"/>
      <c r="Q4" s="55">
        <f t="shared" si="0"/>
        <v>3.4533629573625577E-6</v>
      </c>
      <c r="R4" s="55">
        <f t="shared" si="1"/>
        <v>6.3539500885035703E-6</v>
      </c>
      <c r="S4" s="55">
        <f t="shared" si="2"/>
        <v>6.0627026101717913E-7</v>
      </c>
    </row>
    <row r="5" spans="1:19" x14ac:dyDescent="0.45">
      <c r="A5" s="11"/>
      <c r="B5" s="11"/>
      <c r="C5" s="110"/>
      <c r="D5" s="11"/>
      <c r="E5" s="11"/>
      <c r="F5" s="11"/>
      <c r="G5" s="11">
        <v>4</v>
      </c>
      <c r="H5" s="11">
        <v>1682418</v>
      </c>
      <c r="I5" s="11">
        <v>15.55</v>
      </c>
      <c r="J5" s="11">
        <v>12.86</v>
      </c>
      <c r="K5" s="11">
        <v>0.42</v>
      </c>
      <c r="L5" s="11">
        <v>3.34</v>
      </c>
      <c r="M5" s="11">
        <v>1.02</v>
      </c>
      <c r="N5" s="11">
        <f>J5-K5-L5-M5</f>
        <v>8.08</v>
      </c>
      <c r="O5" s="22"/>
      <c r="P5" s="21"/>
      <c r="Q5" s="55">
        <f t="shared" si="0"/>
        <v>4.8026114794302015E-6</v>
      </c>
      <c r="R5" s="55">
        <f t="shared" si="1"/>
        <v>7.6437603496871763E-6</v>
      </c>
      <c r="S5" s="55">
        <f t="shared" si="2"/>
        <v>6.0627026101717882E-7</v>
      </c>
    </row>
    <row r="6" spans="1:19" x14ac:dyDescent="0.45">
      <c r="A6" s="11"/>
      <c r="B6" s="11"/>
      <c r="C6" s="110"/>
      <c r="D6" s="11"/>
      <c r="E6" s="11"/>
      <c r="F6" s="10">
        <v>7</v>
      </c>
      <c r="G6" s="11">
        <v>3</v>
      </c>
      <c r="H6" s="11">
        <v>29513228</v>
      </c>
      <c r="I6" s="11">
        <v>257.48</v>
      </c>
      <c r="J6" s="11">
        <v>213.12</v>
      </c>
      <c r="K6" s="11">
        <v>8.09</v>
      </c>
      <c r="L6" s="11">
        <v>91.78</v>
      </c>
      <c r="M6" s="8">
        <f>J6-K6-L6-N6</f>
        <v>15.329999999999998</v>
      </c>
      <c r="N6" s="11">
        <v>97.92</v>
      </c>
      <c r="O6" s="20">
        <f>(N7-N6)/N7</f>
        <v>0.192012542288968</v>
      </c>
      <c r="P6" s="21"/>
      <c r="Q6" s="55">
        <f t="shared" si="0"/>
        <v>3.3178342945068564E-6</v>
      </c>
      <c r="R6" s="55">
        <f t="shared" si="1"/>
        <v>7.2211687586325701E-6</v>
      </c>
      <c r="S6" s="55">
        <f t="shared" si="2"/>
        <v>5.1942810186672904E-7</v>
      </c>
    </row>
    <row r="7" spans="1:19" x14ac:dyDescent="0.45">
      <c r="A7" s="11"/>
      <c r="B7" s="11"/>
      <c r="C7" s="110"/>
      <c r="D7" s="11"/>
      <c r="E7" s="11"/>
      <c r="F7" s="11"/>
      <c r="G7" s="11">
        <v>4</v>
      </c>
      <c r="H7" s="11">
        <v>29513228</v>
      </c>
      <c r="I7" s="11">
        <v>280.62</v>
      </c>
      <c r="J7" s="11">
        <v>236.58</v>
      </c>
      <c r="K7" s="11">
        <v>8.6999999999999993</v>
      </c>
      <c r="L7" s="11">
        <v>91.36</v>
      </c>
      <c r="M7" s="11">
        <v>15.329999999999998</v>
      </c>
      <c r="N7" s="11">
        <f>J7-K7-L7-M7</f>
        <v>121.19000000000004</v>
      </c>
      <c r="O7" s="22"/>
      <c r="P7" s="21"/>
      <c r="Q7" s="55">
        <f t="shared" si="0"/>
        <v>4.1062943030155847E-6</v>
      </c>
      <c r="R7" s="55">
        <f t="shared" si="1"/>
        <v>8.0160665583581707E-6</v>
      </c>
      <c r="S7" s="55">
        <f t="shared" si="2"/>
        <v>5.1942810186672904E-7</v>
      </c>
    </row>
    <row r="8" spans="1:19" x14ac:dyDescent="0.45">
      <c r="A8" s="11"/>
      <c r="B8" s="11"/>
      <c r="C8" s="110"/>
      <c r="D8" s="11">
        <v>82744</v>
      </c>
      <c r="E8" s="11"/>
      <c r="F8" s="10">
        <v>5</v>
      </c>
      <c r="G8" s="11">
        <v>3</v>
      </c>
      <c r="H8" s="11">
        <v>1664393</v>
      </c>
      <c r="I8" s="11">
        <v>20.38</v>
      </c>
      <c r="J8" s="11">
        <v>16.41</v>
      </c>
      <c r="K8" s="11">
        <v>0.5</v>
      </c>
      <c r="L8" s="11">
        <v>3.72</v>
      </c>
      <c r="M8" s="8">
        <f>J8-K8-L8-N8</f>
        <v>1.3099999999999987</v>
      </c>
      <c r="N8" s="11">
        <v>10.88</v>
      </c>
      <c r="O8" s="20">
        <f>(N9-N8)/N9</f>
        <v>0.2418118466898953</v>
      </c>
      <c r="P8" s="21"/>
      <c r="Q8" s="55">
        <f t="shared" si="0"/>
        <v>6.536917663075969E-6</v>
      </c>
      <c r="R8" s="55">
        <f t="shared" si="1"/>
        <v>9.8594502620474851E-6</v>
      </c>
      <c r="S8" s="55">
        <f t="shared" si="2"/>
        <v>7.8707372597697705E-7</v>
      </c>
    </row>
    <row r="9" spans="1:19" x14ac:dyDescent="0.45">
      <c r="A9" s="11"/>
      <c r="B9" s="11"/>
      <c r="C9" s="110"/>
      <c r="D9" s="11"/>
      <c r="E9" s="11"/>
      <c r="F9" s="11"/>
      <c r="G9" s="11">
        <v>4</v>
      </c>
      <c r="H9" s="11">
        <v>1664393</v>
      </c>
      <c r="I9" s="11">
        <v>23.33</v>
      </c>
      <c r="J9" s="11">
        <v>19.38</v>
      </c>
      <c r="K9" s="11">
        <v>0.42</v>
      </c>
      <c r="L9" s="11">
        <v>3.3</v>
      </c>
      <c r="M9" s="11">
        <v>1.3099999999999987</v>
      </c>
      <c r="N9" s="11">
        <f>J9-K9-L9-M9</f>
        <v>14.349999999999998</v>
      </c>
      <c r="O9" s="22"/>
      <c r="P9" s="21"/>
      <c r="Q9" s="55">
        <f t="shared" si="0"/>
        <v>8.6217618074577326E-6</v>
      </c>
      <c r="R9" s="55">
        <f t="shared" si="1"/>
        <v>1.1643884587354067E-5</v>
      </c>
      <c r="S9" s="55">
        <f t="shared" si="2"/>
        <v>7.8707372597697705E-7</v>
      </c>
    </row>
    <row r="10" spans="1:19" x14ac:dyDescent="0.45">
      <c r="A10" s="11"/>
      <c r="B10" s="11"/>
      <c r="C10" s="110"/>
      <c r="D10" s="11"/>
      <c r="E10" s="11"/>
      <c r="F10" s="10">
        <v>7</v>
      </c>
      <c r="G10" s="11">
        <v>3</v>
      </c>
      <c r="H10" s="11">
        <v>28242238</v>
      </c>
      <c r="I10" s="11">
        <v>326.56</v>
      </c>
      <c r="J10" s="11">
        <v>283.38</v>
      </c>
      <c r="K10" s="11">
        <v>8.1199999999999992</v>
      </c>
      <c r="L10" s="11">
        <v>87.14</v>
      </c>
      <c r="M10" s="8">
        <f>J10-K10-L10-N10</f>
        <v>15.650000000000006</v>
      </c>
      <c r="N10" s="11">
        <v>172.47</v>
      </c>
      <c r="O10" s="20">
        <f>(N11-N10)/N11</f>
        <v>0.22966635401313151</v>
      </c>
      <c r="P10" s="21"/>
      <c r="Q10" s="55">
        <f t="shared" si="0"/>
        <v>6.1068106571440978E-6</v>
      </c>
      <c r="R10" s="55">
        <f t="shared" si="1"/>
        <v>1.0033907369522202E-5</v>
      </c>
      <c r="S10" s="55">
        <f t="shared" si="2"/>
        <v>5.5413455548388219E-7</v>
      </c>
    </row>
    <row r="11" spans="1:19" x14ac:dyDescent="0.45">
      <c r="A11" s="11"/>
      <c r="B11" s="11"/>
      <c r="C11" s="110"/>
      <c r="D11" s="11"/>
      <c r="E11" s="11"/>
      <c r="F11" s="11"/>
      <c r="G11" s="11">
        <v>4</v>
      </c>
      <c r="H11" s="11">
        <v>28242238</v>
      </c>
      <c r="I11" s="11">
        <v>377.3</v>
      </c>
      <c r="J11" s="11">
        <v>334.38</v>
      </c>
      <c r="K11" s="11">
        <v>7.95</v>
      </c>
      <c r="L11" s="11">
        <v>86.89</v>
      </c>
      <c r="M11" s="11">
        <v>15.65</v>
      </c>
      <c r="N11" s="11">
        <f>J11-K11-L11-M11</f>
        <v>223.89000000000001</v>
      </c>
      <c r="O11" s="20"/>
      <c r="P11" s="21"/>
      <c r="Q11" s="55">
        <f t="shared" si="0"/>
        <v>7.9274878995071154E-6</v>
      </c>
      <c r="R11" s="55">
        <f t="shared" si="1"/>
        <v>1.1839713269182138E-5</v>
      </c>
      <c r="S11" s="55">
        <f t="shared" si="2"/>
        <v>5.5413455548388198E-7</v>
      </c>
    </row>
    <row r="12" spans="1:19" ht="13" thickBot="1" x14ac:dyDescent="0.5">
      <c r="A12" s="13"/>
      <c r="B12" s="13"/>
      <c r="C12" s="111"/>
      <c r="D12" s="13">
        <v>620134</v>
      </c>
      <c r="E12" s="13"/>
      <c r="F12" s="14">
        <v>5</v>
      </c>
      <c r="G12" s="13">
        <v>3</v>
      </c>
      <c r="H12" s="13">
        <v>27356458</v>
      </c>
      <c r="I12" s="13">
        <v>585.97</v>
      </c>
      <c r="J12" s="13">
        <v>531.12</v>
      </c>
      <c r="K12" s="13">
        <v>7.52</v>
      </c>
      <c r="L12" s="13">
        <v>84.72</v>
      </c>
      <c r="M12" s="12">
        <f>J12-K12-L12-N12</f>
        <v>18.129999999999995</v>
      </c>
      <c r="N12" s="13">
        <v>420.75</v>
      </c>
      <c r="O12" s="23"/>
      <c r="P12" s="24"/>
      <c r="Q12" s="55">
        <f t="shared" si="0"/>
        <v>1.538028059041854E-5</v>
      </c>
      <c r="R12" s="55">
        <f t="shared" si="1"/>
        <v>1.941479412283564E-5</v>
      </c>
      <c r="S12" s="55">
        <f t="shared" si="2"/>
        <v>6.6273199549444578E-7</v>
      </c>
    </row>
    <row r="13" spans="1:19" x14ac:dyDescent="0.45">
      <c r="A13" s="25">
        <v>44327</v>
      </c>
      <c r="B13" s="113" t="s">
        <v>44</v>
      </c>
      <c r="C13" s="109" t="s">
        <v>38</v>
      </c>
      <c r="D13" s="11">
        <v>13651</v>
      </c>
      <c r="E13" s="11" t="s">
        <v>26</v>
      </c>
      <c r="F13" s="8">
        <v>5</v>
      </c>
      <c r="G13" s="8">
        <v>3</v>
      </c>
      <c r="H13" s="8">
        <v>1604410</v>
      </c>
      <c r="I13" s="11">
        <v>9.89</v>
      </c>
      <c r="J13" s="11">
        <v>7.5</v>
      </c>
      <c r="K13" s="11">
        <v>0.41</v>
      </c>
      <c r="L13" s="11">
        <v>2.8</v>
      </c>
      <c r="M13" s="8">
        <f>J13-K13-L13-N13</f>
        <v>1.0899999999999999</v>
      </c>
      <c r="N13" s="11">
        <v>3.2</v>
      </c>
      <c r="O13" s="20">
        <f>(N14-N13)/N14</f>
        <v>0.56521739130434778</v>
      </c>
      <c r="P13" s="26">
        <f>(J14-J13)/J14</f>
        <v>0.35842600513259193</v>
      </c>
      <c r="Q13" s="55">
        <f t="shared" si="0"/>
        <v>1.9945026520652453E-6</v>
      </c>
      <c r="R13" s="55">
        <f t="shared" si="1"/>
        <v>4.6746155907779186E-6</v>
      </c>
      <c r="S13" s="55">
        <f t="shared" si="2"/>
        <v>6.7937746585972404E-7</v>
      </c>
    </row>
    <row r="14" spans="1:19" x14ac:dyDescent="0.45">
      <c r="A14" s="11"/>
      <c r="B14" s="116"/>
      <c r="C14" s="110"/>
      <c r="D14" s="11"/>
      <c r="E14" s="11"/>
      <c r="F14" s="11"/>
      <c r="G14" s="11">
        <v>4</v>
      </c>
      <c r="H14" s="11">
        <v>1604410</v>
      </c>
      <c r="I14" s="11">
        <v>14.14</v>
      </c>
      <c r="J14" s="11">
        <v>11.69</v>
      </c>
      <c r="K14" s="11">
        <v>0.41</v>
      </c>
      <c r="L14" s="11">
        <v>2.83</v>
      </c>
      <c r="M14" s="8">
        <v>1.0899999999999999</v>
      </c>
      <c r="N14" s="11">
        <f>J14-K14-L14-M14</f>
        <v>7.3599999999999994</v>
      </c>
      <c r="O14" s="20"/>
      <c r="P14" s="21"/>
      <c r="Q14" s="55">
        <f t="shared" si="0"/>
        <v>4.5873560997500633E-6</v>
      </c>
      <c r="R14" s="55">
        <f t="shared" si="1"/>
        <v>7.2861675008258487E-6</v>
      </c>
      <c r="S14" s="55">
        <f t="shared" si="2"/>
        <v>6.7937746585972404E-7</v>
      </c>
    </row>
    <row r="15" spans="1:19" x14ac:dyDescent="0.45">
      <c r="A15" s="11"/>
      <c r="B15" s="116"/>
      <c r="C15" s="110"/>
      <c r="D15" s="11"/>
      <c r="E15" s="11"/>
      <c r="F15" s="11">
        <v>7</v>
      </c>
      <c r="G15" s="11">
        <v>3</v>
      </c>
      <c r="H15" s="11">
        <v>27334688</v>
      </c>
      <c r="I15" s="11">
        <v>184.39</v>
      </c>
      <c r="J15" s="11">
        <v>146.5</v>
      </c>
      <c r="K15" s="11">
        <v>7.23</v>
      </c>
      <c r="L15" s="11">
        <v>68.05</v>
      </c>
      <c r="M15" s="8">
        <f>J15-K15-L15-N15</f>
        <v>16.250000000000014</v>
      </c>
      <c r="N15" s="11">
        <v>54.97</v>
      </c>
      <c r="O15" s="20">
        <f>(N16-N15)/N16</f>
        <v>0.52233229058046593</v>
      </c>
      <c r="P15" s="26">
        <f>(J16-J15)/J16</f>
        <v>0.29847244169898968</v>
      </c>
      <c r="Q15" s="55">
        <f t="shared" si="0"/>
        <v>2.010997893958036E-6</v>
      </c>
      <c r="R15" s="55">
        <f t="shared" si="1"/>
        <v>5.3594904759842146E-6</v>
      </c>
      <c r="S15" s="55">
        <f t="shared" si="2"/>
        <v>5.9448273197777176E-7</v>
      </c>
    </row>
    <row r="16" spans="1:19" x14ac:dyDescent="0.45">
      <c r="A16" s="11"/>
      <c r="B16" s="116"/>
      <c r="C16" s="110"/>
      <c r="D16" s="11"/>
      <c r="E16" s="11"/>
      <c r="F16" s="11"/>
      <c r="G16" s="11">
        <v>4</v>
      </c>
      <c r="H16" s="11">
        <v>27325301</v>
      </c>
      <c r="I16" s="11">
        <v>245.94</v>
      </c>
      <c r="J16" s="11">
        <v>208.83</v>
      </c>
      <c r="K16" s="11">
        <v>8.67</v>
      </c>
      <c r="L16" s="11">
        <v>68.83</v>
      </c>
      <c r="M16" s="8">
        <v>16.250000000000014</v>
      </c>
      <c r="N16" s="11">
        <f>J16-K16-L16-M16</f>
        <v>115.08000000000003</v>
      </c>
      <c r="O16" s="20"/>
      <c r="P16" s="21"/>
      <c r="Q16" s="55">
        <f t="shared" si="0"/>
        <v>4.211481513049025E-6</v>
      </c>
      <c r="R16" s="55">
        <f t="shared" si="1"/>
        <v>7.6423677821517867E-6</v>
      </c>
      <c r="S16" s="55">
        <f t="shared" si="2"/>
        <v>5.9468695331114612E-7</v>
      </c>
    </row>
    <row r="17" spans="1:30" x14ac:dyDescent="0.45">
      <c r="A17" s="11"/>
      <c r="B17" s="116"/>
      <c r="C17" s="8" t="s">
        <v>36</v>
      </c>
      <c r="D17" s="8">
        <v>1016</v>
      </c>
      <c r="E17" s="11" t="s">
        <v>39</v>
      </c>
      <c r="F17" s="8">
        <v>5</v>
      </c>
      <c r="G17" s="8">
        <v>3</v>
      </c>
      <c r="H17" s="11">
        <v>2174416</v>
      </c>
      <c r="I17" s="11">
        <v>9.8000000000000007</v>
      </c>
      <c r="J17" s="11">
        <v>6.8</v>
      </c>
      <c r="K17" s="11">
        <v>0.7</v>
      </c>
      <c r="L17" s="11">
        <v>3.31</v>
      </c>
      <c r="M17" s="8">
        <f>J17-K17-L17-N17</f>
        <v>1.0599999999999996</v>
      </c>
      <c r="N17" s="11">
        <v>1.73</v>
      </c>
      <c r="O17" s="20">
        <f>(N18-N17)/N18</f>
        <v>0.52472527472527497</v>
      </c>
      <c r="P17" s="26">
        <f>(J18-J17)/J18</f>
        <v>0.22989807474518689</v>
      </c>
      <c r="Q17" s="55">
        <f t="shared" si="0"/>
        <v>7.9561592629929138E-7</v>
      </c>
      <c r="R17" s="55">
        <f t="shared" si="1"/>
        <v>3.1272764733151337E-6</v>
      </c>
      <c r="S17" s="55">
        <f t="shared" si="2"/>
        <v>4.8748721495794713E-7</v>
      </c>
    </row>
    <row r="18" spans="1:30" x14ac:dyDescent="0.45">
      <c r="A18" s="11"/>
      <c r="B18" s="116"/>
      <c r="C18" s="11"/>
      <c r="D18" s="11"/>
      <c r="E18" s="11"/>
      <c r="F18" s="11"/>
      <c r="G18" s="11">
        <v>4</v>
      </c>
      <c r="H18" s="11">
        <v>2174416</v>
      </c>
      <c r="I18" s="11">
        <v>11.8</v>
      </c>
      <c r="J18" s="11">
        <v>8.83</v>
      </c>
      <c r="K18" s="11">
        <v>0.61</v>
      </c>
      <c r="L18" s="11">
        <v>3.52</v>
      </c>
      <c r="M18" s="11">
        <v>1.0599999999999996</v>
      </c>
      <c r="N18" s="11">
        <f>J18-K18-L18-M18</f>
        <v>3.6400000000000015</v>
      </c>
      <c r="O18" s="22"/>
      <c r="P18" s="21"/>
      <c r="Q18" s="55">
        <f t="shared" si="0"/>
        <v>1.6740127004216311E-6</v>
      </c>
      <c r="R18" s="55">
        <f t="shared" si="1"/>
        <v>4.0608604793195049E-6</v>
      </c>
      <c r="S18" s="55">
        <f t="shared" si="2"/>
        <v>4.8748721495794713E-7</v>
      </c>
    </row>
    <row r="19" spans="1:30" x14ac:dyDescent="0.45">
      <c r="A19" s="11"/>
      <c r="B19" s="116"/>
      <c r="C19" s="110" t="s">
        <v>37</v>
      </c>
      <c r="D19" s="8">
        <v>2254812</v>
      </c>
      <c r="E19" s="11" t="s">
        <v>40</v>
      </c>
      <c r="F19" s="8">
        <v>5</v>
      </c>
      <c r="G19" s="8">
        <v>3</v>
      </c>
      <c r="H19" s="11">
        <v>1670768</v>
      </c>
      <c r="I19" s="11">
        <v>809.83</v>
      </c>
      <c r="J19" s="11">
        <v>49.36</v>
      </c>
      <c r="K19" s="11">
        <v>0.47</v>
      </c>
      <c r="L19" s="11">
        <v>3.11</v>
      </c>
      <c r="M19" s="8">
        <f>J19-K19-L19-N19</f>
        <v>2.9699999999999989</v>
      </c>
      <c r="N19" s="11">
        <v>42.81</v>
      </c>
      <c r="O19" s="20">
        <f>(N20-N19)/N20</f>
        <v>0.55471187851050552</v>
      </c>
      <c r="P19" s="26">
        <f>(J20-J19)/J20</f>
        <v>0.51810992873181694</v>
      </c>
      <c r="Q19" s="55">
        <f t="shared" si="0"/>
        <v>2.56229470518947E-5</v>
      </c>
      <c r="R19" s="55">
        <f t="shared" si="1"/>
        <v>2.9543299847734693E-5</v>
      </c>
      <c r="S19" s="55">
        <f t="shared" si="2"/>
        <v>1.7776256188770667E-6</v>
      </c>
    </row>
    <row r="20" spans="1:30" ht="13" thickBot="1" x14ac:dyDescent="0.5">
      <c r="A20" s="13"/>
      <c r="B20" s="115"/>
      <c r="C20" s="111"/>
      <c r="D20" s="13"/>
      <c r="E20" s="13"/>
      <c r="F20" s="13"/>
      <c r="G20" s="13">
        <v>4</v>
      </c>
      <c r="H20" s="13">
        <v>1670943</v>
      </c>
      <c r="I20" s="13">
        <v>846.66</v>
      </c>
      <c r="J20" s="13">
        <v>102.43</v>
      </c>
      <c r="K20" s="13">
        <v>0.44</v>
      </c>
      <c r="L20" s="13">
        <v>2.88</v>
      </c>
      <c r="M20" s="13">
        <v>2.9699999999999989</v>
      </c>
      <c r="N20" s="13">
        <f>J20-K20-L20-M20</f>
        <v>96.140000000000015</v>
      </c>
      <c r="O20" s="27"/>
      <c r="P20" s="24"/>
      <c r="Q20" s="55">
        <f t="shared" si="0"/>
        <v>5.7536373173710899E-5</v>
      </c>
      <c r="R20" s="55">
        <f t="shared" si="1"/>
        <v>6.1300714626411553E-5</v>
      </c>
      <c r="S20" s="55">
        <f t="shared" si="2"/>
        <v>1.7774394458697865E-6</v>
      </c>
    </row>
    <row r="21" spans="1:30" x14ac:dyDescent="0.45">
      <c r="A21" s="28">
        <v>44328</v>
      </c>
      <c r="B21" s="113" t="s">
        <v>45</v>
      </c>
      <c r="C21" s="109" t="s">
        <v>38</v>
      </c>
      <c r="D21" s="11">
        <v>13651</v>
      </c>
      <c r="E21" s="9" t="s">
        <v>26</v>
      </c>
      <c r="F21" s="8">
        <v>5</v>
      </c>
      <c r="G21" s="8">
        <v>3</v>
      </c>
      <c r="H21" s="15">
        <v>1604326</v>
      </c>
      <c r="I21" s="16">
        <v>7.14</v>
      </c>
      <c r="J21" s="16">
        <v>4.42</v>
      </c>
      <c r="K21" s="16">
        <v>0.48</v>
      </c>
      <c r="L21" s="16">
        <v>2.66</v>
      </c>
      <c r="M21" s="15">
        <f>J21-K21-L21-N21</f>
        <v>1.1199999999999999</v>
      </c>
      <c r="N21" s="16">
        <v>0.16</v>
      </c>
      <c r="O21" s="29">
        <f>(N22-N21)/N22</f>
        <v>0.95567867036011078</v>
      </c>
      <c r="P21" s="30">
        <f>(J22-J21)/J22</f>
        <v>0.4176548089591568</v>
      </c>
      <c r="Q21" s="55">
        <f t="shared" si="0"/>
        <v>9.9730354055223194E-8</v>
      </c>
      <c r="R21" s="55">
        <f t="shared" si="1"/>
        <v>2.7550510307755405E-6</v>
      </c>
      <c r="S21" s="55">
        <f t="shared" si="2"/>
        <v>6.9811247838656221E-7</v>
      </c>
    </row>
    <row r="22" spans="1:30" x14ac:dyDescent="0.45">
      <c r="B22" s="114"/>
      <c r="C22" s="110"/>
      <c r="G22" s="9">
        <v>4</v>
      </c>
      <c r="H22" s="17">
        <v>1604410</v>
      </c>
      <c r="I22" s="16">
        <v>10.029999999999999</v>
      </c>
      <c r="J22" s="16">
        <v>7.59</v>
      </c>
      <c r="K22" s="16">
        <v>0.44</v>
      </c>
      <c r="L22" s="16">
        <v>2.42</v>
      </c>
      <c r="M22" s="15">
        <v>1.1200000000000001</v>
      </c>
      <c r="N22" s="17">
        <f>J22-K22-L22-M22</f>
        <v>3.6099999999999994</v>
      </c>
      <c r="O22" s="29"/>
      <c r="P22" s="31"/>
      <c r="Q22" s="55">
        <f t="shared" si="0"/>
        <v>2.2500483043611045E-6</v>
      </c>
      <c r="R22" s="55">
        <f t="shared" si="1"/>
        <v>4.7307109778672531E-6</v>
      </c>
      <c r="S22" s="55">
        <f t="shared" si="2"/>
        <v>6.9807592822283591E-7</v>
      </c>
      <c r="U22" s="53"/>
      <c r="V22" s="53"/>
      <c r="W22" s="53"/>
      <c r="X22" s="53"/>
      <c r="Y22" s="53"/>
      <c r="Z22" s="53"/>
      <c r="AA22" s="53"/>
    </row>
    <row r="23" spans="1:30" ht="14.35" customHeight="1" x14ac:dyDescent="0.45">
      <c r="B23" s="114"/>
      <c r="C23" s="110"/>
      <c r="F23" s="9">
        <v>7</v>
      </c>
      <c r="G23" s="9">
        <v>3</v>
      </c>
      <c r="H23" s="17">
        <v>27334688</v>
      </c>
      <c r="I23" s="16">
        <v>133.77000000000001</v>
      </c>
      <c r="J23" s="16">
        <v>95.31</v>
      </c>
      <c r="K23" s="16">
        <v>9.06</v>
      </c>
      <c r="L23" s="16">
        <v>68.09</v>
      </c>
      <c r="M23" s="15">
        <f>J23-K23-L23-N23</f>
        <v>14.739999999999997</v>
      </c>
      <c r="N23" s="17">
        <v>3.42</v>
      </c>
      <c r="O23" s="29">
        <f>(N24-N23)/N24</f>
        <v>0.93386192225875064</v>
      </c>
      <c r="P23" s="30">
        <f>(J24-J23)/J24</f>
        <v>0.32747671464860284</v>
      </c>
      <c r="Q23" s="55">
        <f t="shared" si="0"/>
        <v>1.2511575036086016E-7</v>
      </c>
      <c r="R23" s="55">
        <f t="shared" si="1"/>
        <v>3.4867784113723925E-6</v>
      </c>
      <c r="S23" s="55">
        <f t="shared" si="2"/>
        <v>5.3924156734475974E-7</v>
      </c>
      <c r="U23" s="75"/>
      <c r="V23" s="75"/>
      <c r="W23" s="75"/>
      <c r="X23" s="75"/>
      <c r="Y23" s="75"/>
      <c r="Z23" s="75"/>
      <c r="AA23" s="75"/>
      <c r="AB23" s="75"/>
      <c r="AC23" s="75"/>
      <c r="AD23" s="75"/>
    </row>
    <row r="24" spans="1:30" x14ac:dyDescent="0.45">
      <c r="B24" s="114"/>
      <c r="C24" s="110"/>
      <c r="G24" s="9">
        <v>4</v>
      </c>
      <c r="H24" s="17">
        <v>27325301</v>
      </c>
      <c r="I24" s="16">
        <v>178.72</v>
      </c>
      <c r="J24" s="16">
        <v>141.72</v>
      </c>
      <c r="K24" s="16">
        <v>8.3800000000000008</v>
      </c>
      <c r="L24" s="16">
        <v>66.89</v>
      </c>
      <c r="M24" s="15">
        <v>14.74</v>
      </c>
      <c r="N24" s="17">
        <f>J24-K24-L24-M24</f>
        <v>51.71</v>
      </c>
      <c r="O24" s="29"/>
      <c r="P24" s="31"/>
      <c r="Q24" s="55">
        <f t="shared" si="0"/>
        <v>1.8923853757365746E-6</v>
      </c>
      <c r="R24" s="55">
        <f t="shared" si="1"/>
        <v>5.1864021552772647E-6</v>
      </c>
      <c r="S24" s="55">
        <f t="shared" si="2"/>
        <v>5.3942681180346372E-7</v>
      </c>
      <c r="U24" s="71" t="s">
        <v>58</v>
      </c>
      <c r="V24" s="71" t="s">
        <v>59</v>
      </c>
      <c r="W24" s="71" t="s">
        <v>55</v>
      </c>
      <c r="X24" s="72" t="s">
        <v>60</v>
      </c>
      <c r="Y24" s="71" t="s">
        <v>67</v>
      </c>
      <c r="Z24" s="71" t="s">
        <v>66</v>
      </c>
      <c r="AA24" s="73" t="s">
        <v>65</v>
      </c>
      <c r="AB24" s="74" t="s">
        <v>64</v>
      </c>
      <c r="AC24" s="72" t="s">
        <v>68</v>
      </c>
      <c r="AD24" s="72" t="s">
        <v>69</v>
      </c>
    </row>
    <row r="25" spans="1:30" x14ac:dyDescent="0.45">
      <c r="B25" s="114"/>
      <c r="C25" s="110"/>
      <c r="D25" s="11">
        <v>82744</v>
      </c>
      <c r="E25" s="11"/>
      <c r="F25" s="10">
        <v>5</v>
      </c>
      <c r="G25" s="11">
        <v>3</v>
      </c>
      <c r="H25" s="17">
        <v>1585153</v>
      </c>
      <c r="I25" s="17">
        <v>8.39</v>
      </c>
      <c r="J25" s="17">
        <v>4.55</v>
      </c>
      <c r="K25" s="17">
        <v>0.47</v>
      </c>
      <c r="L25" s="17">
        <v>2.5299999999999998</v>
      </c>
      <c r="M25" s="15">
        <f>J25-K25-L25-N25</f>
        <v>1.3900000000000003</v>
      </c>
      <c r="N25" s="17">
        <v>0.16</v>
      </c>
      <c r="O25" s="32">
        <f>(N26-N25)/N26</f>
        <v>0.97714285714285709</v>
      </c>
      <c r="P25" s="30">
        <f>(J26-J25)/J26</f>
        <v>0.59265890778871977</v>
      </c>
      <c r="Q25" s="55">
        <f t="shared" si="0"/>
        <v>1.0093662883015079E-7</v>
      </c>
      <c r="R25" s="55">
        <f t="shared" si="1"/>
        <v>2.8703853823574125E-6</v>
      </c>
      <c r="S25" s="55">
        <f t="shared" si="2"/>
        <v>8.7688696296193514E-7</v>
      </c>
      <c r="U25" s="60" t="s">
        <v>61</v>
      </c>
      <c r="V25" s="59">
        <v>1016</v>
      </c>
      <c r="W25" s="59">
        <v>7</v>
      </c>
      <c r="X25" s="57">
        <f>H58</f>
        <v>35013453</v>
      </c>
      <c r="Y25" s="83">
        <f>M58</f>
        <v>15.830000000000004</v>
      </c>
      <c r="Z25" s="84">
        <f>N58</f>
        <v>3.83</v>
      </c>
      <c r="AA25" s="85">
        <f>J58</f>
        <v>60.02</v>
      </c>
      <c r="AB25" s="61">
        <f>R58*1000000</f>
        <v>1.7141982540253886</v>
      </c>
      <c r="AC25" s="61">
        <f>J39/J58</f>
        <v>1.4146951016327889</v>
      </c>
      <c r="AD25" s="61">
        <f>J40/J58</f>
        <v>1.7782405864711763</v>
      </c>
    </row>
    <row r="26" spans="1:30" ht="13" thickBot="1" x14ac:dyDescent="0.5">
      <c r="A26" s="13"/>
      <c r="B26" s="115"/>
      <c r="C26" s="111"/>
      <c r="D26" s="13"/>
      <c r="E26" s="13"/>
      <c r="F26" s="13"/>
      <c r="G26" s="13">
        <v>4</v>
      </c>
      <c r="H26" s="18">
        <v>1585237</v>
      </c>
      <c r="I26" s="18">
        <v>14.86</v>
      </c>
      <c r="J26" s="18">
        <v>11.17</v>
      </c>
      <c r="K26" s="18">
        <v>0.42</v>
      </c>
      <c r="L26" s="18">
        <v>2.36</v>
      </c>
      <c r="M26" s="18">
        <v>1.39</v>
      </c>
      <c r="N26" s="18">
        <f>J26-K26-L26-M26</f>
        <v>7.0000000000000009</v>
      </c>
      <c r="O26" s="33"/>
      <c r="P26" s="34"/>
      <c r="Q26" s="55">
        <f t="shared" si="0"/>
        <v>4.4157435134304847E-6</v>
      </c>
      <c r="R26" s="55">
        <f t="shared" si="1"/>
        <v>7.0462650064312153E-6</v>
      </c>
      <c r="S26" s="55">
        <f t="shared" si="2"/>
        <v>8.7684049766691029E-7</v>
      </c>
      <c r="U26" s="60" t="s">
        <v>63</v>
      </c>
      <c r="V26" s="59" t="s">
        <v>56</v>
      </c>
      <c r="W26" s="59">
        <v>7</v>
      </c>
      <c r="X26" s="59">
        <f>H33</f>
        <v>26047633</v>
      </c>
      <c r="Y26" s="83">
        <f>M33</f>
        <v>15.5</v>
      </c>
      <c r="Z26" s="83">
        <f>N33</f>
        <v>3.05</v>
      </c>
      <c r="AA26" s="86">
        <f>J33</f>
        <v>50.66</v>
      </c>
      <c r="AB26" s="62">
        <f>R33*1000000</f>
        <v>1.9448984097710527</v>
      </c>
      <c r="AC26" s="61">
        <f>J34/J33</f>
        <v>2.9928938018160287</v>
      </c>
      <c r="AD26" s="61">
        <f>J35/J33</f>
        <v>4.7741808132649037</v>
      </c>
    </row>
    <row r="27" spans="1:30" ht="13" customHeight="1" x14ac:dyDescent="0.45">
      <c r="B27" s="63" t="s">
        <v>46</v>
      </c>
      <c r="C27" s="67" t="s">
        <v>63</v>
      </c>
      <c r="D27" s="11">
        <v>13651</v>
      </c>
      <c r="E27" s="9" t="s">
        <v>26</v>
      </c>
      <c r="F27" s="8">
        <v>5</v>
      </c>
      <c r="G27" s="8">
        <v>3</v>
      </c>
      <c r="H27" s="15">
        <v>1604326</v>
      </c>
      <c r="I27" s="16">
        <v>5.34</v>
      </c>
      <c r="J27" s="16">
        <v>2.67</v>
      </c>
      <c r="K27" s="16">
        <v>0.44</v>
      </c>
      <c r="L27" s="16">
        <v>0.97</v>
      </c>
      <c r="M27" s="15">
        <f>J27-K27-L27-N27</f>
        <v>1.1000000000000001</v>
      </c>
      <c r="N27" s="16">
        <v>0.16</v>
      </c>
      <c r="O27" s="29">
        <f>(N28-N27)/N28</f>
        <v>0.95480225988700562</v>
      </c>
      <c r="P27" s="30">
        <f>(J28-J27)/J28</f>
        <v>0.55721393034825872</v>
      </c>
      <c r="Q27" s="55">
        <f t="shared" si="0"/>
        <v>9.9730354055223194E-8</v>
      </c>
      <c r="R27" s="55">
        <f t="shared" si="1"/>
        <v>1.664250283296537E-6</v>
      </c>
      <c r="S27" s="55">
        <f t="shared" si="2"/>
        <v>6.8564618412965944E-7</v>
      </c>
      <c r="U27" s="76" t="s">
        <v>62</v>
      </c>
      <c r="V27" s="77" t="s">
        <v>57</v>
      </c>
      <c r="W27" s="77">
        <v>7</v>
      </c>
      <c r="X27" s="77">
        <f>H43</f>
        <v>26492705</v>
      </c>
      <c r="Y27" s="87">
        <f>M43</f>
        <v>22.27</v>
      </c>
      <c r="Z27" s="87">
        <f>N43</f>
        <v>3.59</v>
      </c>
      <c r="AA27" s="88">
        <f>J43</f>
        <v>57.62</v>
      </c>
      <c r="AB27" s="78">
        <f>R43*1000000</f>
        <v>2.1749383462353125</v>
      </c>
      <c r="AC27" s="78">
        <f>J44/J43</f>
        <v>14.71902117320375</v>
      </c>
      <c r="AD27" s="78">
        <f>J45/J43</f>
        <v>25.410274210343633</v>
      </c>
    </row>
    <row r="28" spans="1:30" x14ac:dyDescent="0.45">
      <c r="B28" s="70"/>
      <c r="C28" s="65"/>
      <c r="G28" s="9">
        <v>4</v>
      </c>
      <c r="H28" s="17">
        <v>1604410</v>
      </c>
      <c r="I28" s="16">
        <v>8.42</v>
      </c>
      <c r="J28" s="16">
        <v>6.03</v>
      </c>
      <c r="K28" s="16">
        <v>0.44</v>
      </c>
      <c r="L28" s="16">
        <v>0.95</v>
      </c>
      <c r="M28" s="15">
        <v>1.1000000000000001</v>
      </c>
      <c r="N28" s="17">
        <f>J28-K28-L28-M28</f>
        <v>3.5399999999999996</v>
      </c>
      <c r="O28" s="29"/>
      <c r="P28" s="31"/>
      <c r="Q28" s="55">
        <f t="shared" si="0"/>
        <v>2.2064185588471773E-6</v>
      </c>
      <c r="R28" s="55">
        <f t="shared" si="1"/>
        <v>3.7583909349854464E-6</v>
      </c>
      <c r="S28" s="55">
        <f t="shared" si="2"/>
        <v>6.8561028664742803E-7</v>
      </c>
      <c r="W28" s="57"/>
      <c r="X28" s="57"/>
      <c r="Y28" s="57"/>
      <c r="Z28" s="58"/>
      <c r="AA28" s="57"/>
      <c r="AB28" s="56"/>
    </row>
    <row r="29" spans="1:30" x14ac:dyDescent="0.45">
      <c r="B29" s="70"/>
      <c r="C29" s="65"/>
      <c r="F29" s="9">
        <v>7</v>
      </c>
      <c r="G29" s="9">
        <v>3</v>
      </c>
      <c r="H29" s="17">
        <v>27334688</v>
      </c>
      <c r="I29" s="16">
        <v>89.61</v>
      </c>
      <c r="J29" s="16">
        <v>52.42</v>
      </c>
      <c r="K29" s="16">
        <v>8.4499999999999993</v>
      </c>
      <c r="L29" s="16">
        <v>25.36</v>
      </c>
      <c r="M29" s="15">
        <f>J29-K29-L29-N29</f>
        <v>15.129999999999999</v>
      </c>
      <c r="N29" s="17">
        <v>3.48</v>
      </c>
      <c r="O29" s="29">
        <f>(N30-N29)/N30</f>
        <v>0.93424036281179146</v>
      </c>
      <c r="P29" s="30">
        <f>(J30-J29)/J30</f>
        <v>0.48723466692751638</v>
      </c>
      <c r="Q29" s="55">
        <f t="shared" si="0"/>
        <v>1.2731076352508579E-7</v>
      </c>
      <c r="R29" s="55">
        <f t="shared" si="1"/>
        <v>1.9177098344784476E-6</v>
      </c>
      <c r="S29" s="55">
        <f t="shared" si="2"/>
        <v>5.5350915291222635E-7</v>
      </c>
    </row>
    <row r="30" spans="1:30" x14ac:dyDescent="0.45">
      <c r="B30" s="70"/>
      <c r="C30" s="65"/>
      <c r="G30" s="9">
        <v>4</v>
      </c>
      <c r="H30" s="17">
        <v>27325301</v>
      </c>
      <c r="I30" s="16">
        <v>138.72</v>
      </c>
      <c r="J30" s="16">
        <v>102.23</v>
      </c>
      <c r="K30" s="16">
        <v>8.48</v>
      </c>
      <c r="L30" s="16">
        <v>25.7</v>
      </c>
      <c r="M30" s="15">
        <v>15.13</v>
      </c>
      <c r="N30" s="17">
        <f>J30-K30-L30-M30</f>
        <v>52.919999999999995</v>
      </c>
      <c r="O30" s="29"/>
      <c r="P30" s="31"/>
      <c r="Q30" s="55">
        <f t="shared" si="0"/>
        <v>1.9366666811831274E-6</v>
      </c>
      <c r="R30" s="55">
        <f t="shared" si="1"/>
        <v>3.7412213684306717E-6</v>
      </c>
      <c r="S30" s="55">
        <f t="shared" si="2"/>
        <v>5.5369929868293131E-7</v>
      </c>
    </row>
    <row r="31" spans="1:30" x14ac:dyDescent="0.45">
      <c r="B31" s="70"/>
      <c r="C31" s="65"/>
      <c r="D31" s="11">
        <v>82744</v>
      </c>
      <c r="E31" s="11"/>
      <c r="F31" s="10">
        <v>5</v>
      </c>
      <c r="G31" s="11">
        <v>3</v>
      </c>
      <c r="H31" s="17">
        <v>1585153</v>
      </c>
      <c r="I31" s="17">
        <v>6.67</v>
      </c>
      <c r="J31" s="17">
        <v>3.03</v>
      </c>
      <c r="K31" s="17">
        <v>0.47</v>
      </c>
      <c r="L31" s="17">
        <v>0.95</v>
      </c>
      <c r="M31" s="15">
        <f>J31-K31-L31-N31</f>
        <v>1.4499999999999997</v>
      </c>
      <c r="N31" s="17">
        <v>0.16</v>
      </c>
      <c r="O31" s="32">
        <f>(N32-N31)/N32</f>
        <v>0.97657393850658858</v>
      </c>
      <c r="P31" s="30">
        <f>(J32-J31)/J32</f>
        <v>0.68665977249224408</v>
      </c>
      <c r="Q31" s="55">
        <f t="shared" si="0"/>
        <v>1.0093662883015079E-7</v>
      </c>
      <c r="R31" s="55">
        <f t="shared" si="1"/>
        <v>1.9114874084709803E-6</v>
      </c>
      <c r="S31" s="55">
        <f t="shared" si="2"/>
        <v>9.1473819877324131E-7</v>
      </c>
    </row>
    <row r="32" spans="1:30" x14ac:dyDescent="0.45">
      <c r="B32" s="70"/>
      <c r="C32" s="65"/>
      <c r="D32" s="11"/>
      <c r="E32" s="11"/>
      <c r="F32" s="11"/>
      <c r="G32" s="11">
        <v>4</v>
      </c>
      <c r="H32" s="17">
        <v>1585237</v>
      </c>
      <c r="I32" s="17">
        <v>13.28</v>
      </c>
      <c r="J32" s="17">
        <v>9.67</v>
      </c>
      <c r="K32" s="17">
        <v>0.44</v>
      </c>
      <c r="L32" s="17">
        <v>0.95</v>
      </c>
      <c r="M32" s="17">
        <v>1.45</v>
      </c>
      <c r="N32" s="17">
        <f>J32-K32-L32-M32</f>
        <v>6.830000000000001</v>
      </c>
      <c r="O32" s="35"/>
      <c r="P32" s="36"/>
      <c r="Q32" s="55">
        <f t="shared" si="0"/>
        <v>4.3085040281043156E-6</v>
      </c>
      <c r="R32" s="55">
        <f t="shared" si="1"/>
        <v>6.1000342535532545E-6</v>
      </c>
      <c r="S32" s="55">
        <f t="shared" si="2"/>
        <v>9.1468972778202879E-7</v>
      </c>
    </row>
    <row r="33" spans="1:24" x14ac:dyDescent="0.45">
      <c r="B33" s="70"/>
      <c r="C33" s="65"/>
      <c r="F33" s="9">
        <v>7</v>
      </c>
      <c r="G33" s="9">
        <v>3</v>
      </c>
      <c r="H33" s="9">
        <v>26047633</v>
      </c>
      <c r="I33" s="9">
        <v>86.3</v>
      </c>
      <c r="J33" s="9">
        <v>50.66</v>
      </c>
      <c r="K33" s="9">
        <v>8.02</v>
      </c>
      <c r="L33" s="9">
        <v>24.09</v>
      </c>
      <c r="M33" s="15">
        <f>J33-K33-L33-N33</f>
        <v>15.5</v>
      </c>
      <c r="N33" s="9">
        <v>3.05</v>
      </c>
      <c r="O33" s="32">
        <f>(N34-N33)/N34</f>
        <v>0.97060240963855426</v>
      </c>
      <c r="P33" s="30">
        <f>(J34-J33)/J34</f>
        <v>0.66587521435166863</v>
      </c>
      <c r="Q33" s="55">
        <f t="shared" si="0"/>
        <v>1.1709317311096942E-7</v>
      </c>
      <c r="R33" s="55">
        <f t="shared" si="1"/>
        <v>1.9448984097710527E-6</v>
      </c>
      <c r="S33" s="55">
        <f t="shared" si="2"/>
        <v>5.9506366662951673E-7</v>
      </c>
    </row>
    <row r="34" spans="1:24" x14ac:dyDescent="0.45">
      <c r="B34" s="70"/>
      <c r="C34" s="65"/>
      <c r="G34" s="9">
        <v>4</v>
      </c>
      <c r="H34" s="9">
        <v>26047885</v>
      </c>
      <c r="I34" s="9">
        <v>188.33</v>
      </c>
      <c r="J34" s="9">
        <v>151.62</v>
      </c>
      <c r="K34" s="9">
        <v>8.06</v>
      </c>
      <c r="L34" s="9">
        <v>24.31</v>
      </c>
      <c r="M34" s="9">
        <v>15.5</v>
      </c>
      <c r="N34" s="17">
        <f>J34-K34-L34-M34</f>
        <v>103.75</v>
      </c>
      <c r="Q34" s="55">
        <f t="shared" si="0"/>
        <v>3.9830489116486806E-6</v>
      </c>
      <c r="R34" s="55">
        <f t="shared" si="1"/>
        <v>5.8208180817751614E-6</v>
      </c>
      <c r="S34" s="55">
        <f t="shared" si="2"/>
        <v>5.9505790969209211E-7</v>
      </c>
    </row>
    <row r="35" spans="1:24" s="51" customFormat="1" x14ac:dyDescent="0.45">
      <c r="B35" s="70"/>
      <c r="C35" s="65"/>
      <c r="G35" s="51">
        <v>5</v>
      </c>
      <c r="H35" s="51">
        <v>26047885</v>
      </c>
      <c r="I35" s="51">
        <v>278.97000000000003</v>
      </c>
      <c r="J35" s="51">
        <v>241.86</v>
      </c>
      <c r="K35" s="51">
        <v>8.2799999999999994</v>
      </c>
      <c r="L35" s="51">
        <v>22.64</v>
      </c>
      <c r="M35" s="15">
        <f>J35-K35-L35-N35</f>
        <v>16.189999999999998</v>
      </c>
      <c r="N35" s="17">
        <v>194.75</v>
      </c>
      <c r="O35" s="37"/>
      <c r="P35" s="38"/>
      <c r="Q35" s="55">
        <f t="shared" ref="Q35:Q46" si="3">N35/H35</f>
        <v>7.476614704034512E-6</v>
      </c>
      <c r="R35" s="55">
        <f t="shared" ref="R35:R46" si="4">J35/H35</f>
        <v>9.285206841169638E-6</v>
      </c>
      <c r="S35" s="55">
        <f t="shared" si="2"/>
        <v>6.2154758438161092E-7</v>
      </c>
    </row>
    <row r="36" spans="1:24" x14ac:dyDescent="0.45">
      <c r="B36" s="70"/>
      <c r="C36" s="68" t="s">
        <v>61</v>
      </c>
      <c r="D36" s="8">
        <v>1016</v>
      </c>
      <c r="E36" s="11" t="s">
        <v>39</v>
      </c>
      <c r="F36" s="8">
        <v>5</v>
      </c>
      <c r="G36" s="8">
        <v>3</v>
      </c>
      <c r="H36" s="11">
        <v>2174416</v>
      </c>
      <c r="I36" s="11">
        <v>6.12</v>
      </c>
      <c r="J36" s="11">
        <v>3.12</v>
      </c>
      <c r="K36" s="11">
        <v>0.66</v>
      </c>
      <c r="L36" s="11">
        <v>1.19</v>
      </c>
      <c r="M36" s="8">
        <f>J36-K36-L36-N36</f>
        <v>1.08</v>
      </c>
      <c r="N36" s="11">
        <v>0.19</v>
      </c>
      <c r="O36" s="20">
        <f>(N37-N36)/N37</f>
        <v>0.90404040404040409</v>
      </c>
      <c r="P36" s="26">
        <f>(J37-J36)/J37</f>
        <v>0.36842105263157898</v>
      </c>
      <c r="Q36" s="55">
        <f t="shared" si="3"/>
        <v>8.7379783813216969E-8</v>
      </c>
      <c r="R36" s="55">
        <f t="shared" si="4"/>
        <v>1.4348680289328262E-6</v>
      </c>
      <c r="S36" s="55">
        <f t="shared" si="2"/>
        <v>4.9668508693828598E-7</v>
      </c>
    </row>
    <row r="37" spans="1:24" x14ac:dyDescent="0.45">
      <c r="B37" s="70"/>
      <c r="C37" s="65"/>
      <c r="D37" s="11"/>
      <c r="E37" s="11"/>
      <c r="F37" s="11"/>
      <c r="G37" s="11">
        <v>4</v>
      </c>
      <c r="H37" s="11">
        <v>2174416</v>
      </c>
      <c r="I37" s="11">
        <v>8.0500000000000007</v>
      </c>
      <c r="J37" s="11">
        <v>4.9400000000000004</v>
      </c>
      <c r="K37" s="11">
        <v>0.67</v>
      </c>
      <c r="L37" s="11">
        <v>1.22</v>
      </c>
      <c r="M37" s="8">
        <v>1.07</v>
      </c>
      <c r="N37" s="11">
        <f>J37-K37-L37-M37</f>
        <v>1.9800000000000006</v>
      </c>
      <c r="O37" s="22"/>
      <c r="P37" s="21"/>
      <c r="Q37" s="55">
        <f t="shared" si="3"/>
        <v>9.1058932605352459E-7</v>
      </c>
      <c r="R37" s="55">
        <f t="shared" si="4"/>
        <v>2.2718743791436417E-6</v>
      </c>
      <c r="S37" s="55">
        <f t="shared" si="2"/>
        <v>4.9208615094811666E-7</v>
      </c>
    </row>
    <row r="38" spans="1:24" x14ac:dyDescent="0.45">
      <c r="B38" s="70"/>
      <c r="C38" s="65"/>
      <c r="F38" s="9">
        <v>7</v>
      </c>
      <c r="G38" s="9">
        <v>3</v>
      </c>
      <c r="H38" s="81">
        <v>35013453</v>
      </c>
      <c r="I38" s="81">
        <v>112.23</v>
      </c>
      <c r="J38" s="81">
        <v>60.02</v>
      </c>
      <c r="K38" s="81">
        <v>11.89</v>
      </c>
      <c r="L38" s="81">
        <v>28.47</v>
      </c>
      <c r="M38" s="80">
        <f t="shared" ref="M38:M39" si="5">J38-K38-L38-N38</f>
        <v>15.830000000000004</v>
      </c>
      <c r="N38" s="81">
        <v>3.83</v>
      </c>
      <c r="O38" s="20">
        <f>(N39-N38)/N39</f>
        <v>0.86584938704028014</v>
      </c>
      <c r="P38" s="26">
        <f>(J39-J38)/J39</f>
        <v>0.29313390648922383</v>
      </c>
      <c r="Q38" s="55">
        <f t="shared" si="3"/>
        <v>1.0938652637316291E-7</v>
      </c>
      <c r="R38" s="55">
        <f t="shared" si="4"/>
        <v>1.7141982540253886E-6</v>
      </c>
      <c r="S38" s="55">
        <f t="shared" si="2"/>
        <v>4.5211193537524001E-7</v>
      </c>
    </row>
    <row r="39" spans="1:24" x14ac:dyDescent="0.45">
      <c r="B39" s="70"/>
      <c r="C39" s="65"/>
      <c r="G39" s="9">
        <v>4</v>
      </c>
      <c r="H39" s="81">
        <v>35013453</v>
      </c>
      <c r="I39" s="81">
        <v>135.22999999999999</v>
      </c>
      <c r="J39" s="81">
        <v>84.91</v>
      </c>
      <c r="K39" s="81">
        <v>12.59</v>
      </c>
      <c r="L39" s="81">
        <v>27.94</v>
      </c>
      <c r="M39" s="80">
        <f t="shared" si="5"/>
        <v>15.829999999999995</v>
      </c>
      <c r="N39" s="82">
        <v>28.55</v>
      </c>
      <c r="Q39" s="55">
        <f t="shared" si="3"/>
        <v>8.1540086891744154E-7</v>
      </c>
      <c r="R39" s="55">
        <f t="shared" si="4"/>
        <v>2.4250678731971966E-6</v>
      </c>
      <c r="S39" s="55">
        <f t="shared" si="2"/>
        <v>4.5211193537523975E-7</v>
      </c>
    </row>
    <row r="40" spans="1:24" s="51" customFormat="1" x14ac:dyDescent="0.45">
      <c r="B40" s="70"/>
      <c r="C40" s="65"/>
      <c r="G40" s="51">
        <v>5</v>
      </c>
      <c r="H40" s="53">
        <v>35013453</v>
      </c>
      <c r="I40" s="53">
        <v>156.72999999999999</v>
      </c>
      <c r="J40" s="53">
        <v>106.73</v>
      </c>
      <c r="K40" s="53">
        <v>12.02</v>
      </c>
      <c r="L40" s="53">
        <v>27.03</v>
      </c>
      <c r="M40" s="50">
        <f>J40-K40-L40-N40</f>
        <v>15.900000000000006</v>
      </c>
      <c r="N40" s="53">
        <v>51.78</v>
      </c>
      <c r="O40" s="37"/>
      <c r="P40" s="38"/>
      <c r="Q40" s="55">
        <f t="shared" si="3"/>
        <v>1.4788601398439623E-6</v>
      </c>
      <c r="R40" s="55">
        <f t="shared" si="4"/>
        <v>3.0482569085659735E-6</v>
      </c>
      <c r="S40" s="55">
        <f t="shared" si="2"/>
        <v>4.541111669277522E-7</v>
      </c>
    </row>
    <row r="41" spans="1:24" ht="12.7" customHeight="1" x14ac:dyDescent="0.45">
      <c r="A41" s="11"/>
      <c r="B41" s="70"/>
      <c r="C41" s="69" t="s">
        <v>62</v>
      </c>
      <c r="D41" s="8">
        <v>2254812</v>
      </c>
      <c r="E41" s="11" t="s">
        <v>40</v>
      </c>
      <c r="F41" s="8">
        <v>5</v>
      </c>
      <c r="G41" s="8">
        <v>3</v>
      </c>
      <c r="H41" s="53">
        <v>1670474</v>
      </c>
      <c r="I41" s="53">
        <v>728.77</v>
      </c>
      <c r="J41" s="53">
        <v>4.12</v>
      </c>
      <c r="K41" s="53">
        <v>0.47</v>
      </c>
      <c r="L41" s="53">
        <v>0.91</v>
      </c>
      <c r="M41" s="50">
        <f>J41-K41-L41-N41</f>
        <v>2.6</v>
      </c>
      <c r="N41" s="53">
        <v>0.14000000000000001</v>
      </c>
      <c r="O41" s="20">
        <f>(N42-N41)/N42</f>
        <v>0.99689853788214444</v>
      </c>
      <c r="P41" s="26">
        <f>(J42-J41)/J42</f>
        <v>0.91607251986147897</v>
      </c>
      <c r="Q41" s="55">
        <f t="shared" si="3"/>
        <v>8.3808547753511885E-8</v>
      </c>
      <c r="R41" s="55">
        <f t="shared" si="4"/>
        <v>2.4663658338890638E-6</v>
      </c>
      <c r="S41" s="55">
        <f t="shared" si="2"/>
        <v>1.5564444582795064E-6</v>
      </c>
    </row>
    <row r="42" spans="1:24" s="11" customFormat="1" x14ac:dyDescent="0.45">
      <c r="B42" s="70"/>
      <c r="C42" s="65"/>
      <c r="G42" s="11">
        <v>4</v>
      </c>
      <c r="H42" s="11">
        <v>1670649</v>
      </c>
      <c r="I42" s="11">
        <v>773.7</v>
      </c>
      <c r="J42" s="11">
        <v>49.09</v>
      </c>
      <c r="K42" s="11">
        <v>0.44</v>
      </c>
      <c r="L42" s="11">
        <v>0.91</v>
      </c>
      <c r="M42" s="11">
        <v>2.6</v>
      </c>
      <c r="N42" s="11">
        <f>J42-K42-L42-M42</f>
        <v>45.140000000000008</v>
      </c>
      <c r="O42" s="22"/>
      <c r="P42" s="21"/>
      <c r="Q42" s="55">
        <f t="shared" si="3"/>
        <v>2.7019439750659779E-5</v>
      </c>
      <c r="R42" s="55">
        <f t="shared" si="4"/>
        <v>2.9383790371286851E-5</v>
      </c>
      <c r="S42" s="55">
        <f t="shared" si="2"/>
        <v>1.556281421172251E-6</v>
      </c>
      <c r="V42" s="11" t="s">
        <v>97</v>
      </c>
      <c r="W42" s="11" t="s">
        <v>98</v>
      </c>
      <c r="X42" s="11" t="s">
        <v>95</v>
      </c>
    </row>
    <row r="43" spans="1:24" x14ac:dyDescent="0.45">
      <c r="A43" s="11"/>
      <c r="B43" s="70"/>
      <c r="C43" s="65"/>
      <c r="D43" s="8"/>
      <c r="E43" s="11"/>
      <c r="F43" s="11">
        <v>7</v>
      </c>
      <c r="G43" s="11">
        <v>3</v>
      </c>
      <c r="H43" s="11">
        <v>26492705</v>
      </c>
      <c r="I43" s="11">
        <v>805.22</v>
      </c>
      <c r="J43" s="11">
        <v>57.62</v>
      </c>
      <c r="K43" s="11">
        <v>8.73</v>
      </c>
      <c r="L43" s="11">
        <v>23.03</v>
      </c>
      <c r="M43" s="8">
        <f>J43-K43-L43-N43</f>
        <v>22.27</v>
      </c>
      <c r="N43" s="11">
        <v>3.59</v>
      </c>
      <c r="O43" s="20">
        <f>(N44-N43)/N44</f>
        <v>0.9954888729721918</v>
      </c>
      <c r="P43" s="26">
        <f>(J44-J43)/J44</f>
        <v>0.93206069967339145</v>
      </c>
      <c r="Q43" s="55">
        <f t="shared" si="3"/>
        <v>1.3550900144020779E-7</v>
      </c>
      <c r="R43" s="55">
        <f t="shared" si="4"/>
        <v>2.1749383462353126E-6</v>
      </c>
      <c r="S43" s="55">
        <f t="shared" si="2"/>
        <v>8.4060876380875412E-7</v>
      </c>
      <c r="U43" s="90">
        <v>1</v>
      </c>
      <c r="V43" s="55">
        <f>Q54*1000000</f>
        <v>1.4348680289328262</v>
      </c>
      <c r="W43" s="55">
        <f t="shared" ref="W43:X43" si="6">R54*1000000</f>
        <v>2.809949889993451</v>
      </c>
      <c r="X43" s="55">
        <f t="shared" si="6"/>
        <v>0.51048189490879403</v>
      </c>
    </row>
    <row r="44" spans="1:24" x14ac:dyDescent="0.45">
      <c r="A44" s="53"/>
      <c r="B44" s="70"/>
      <c r="C44" s="65"/>
      <c r="D44" s="53"/>
      <c r="E44" s="53"/>
      <c r="F44" s="53"/>
      <c r="G44" s="53">
        <v>4</v>
      </c>
      <c r="H44" s="53">
        <v>26494609</v>
      </c>
      <c r="I44" s="53">
        <v>1585.44</v>
      </c>
      <c r="J44" s="53">
        <v>848.11</v>
      </c>
      <c r="K44" s="53">
        <v>8.5500000000000007</v>
      </c>
      <c r="L44" s="53">
        <v>21.48</v>
      </c>
      <c r="M44" s="53">
        <v>22.27</v>
      </c>
      <c r="N44" s="53">
        <f>J44-K44-L44-M44</f>
        <v>795.81000000000006</v>
      </c>
      <c r="O44" s="22"/>
      <c r="P44" s="21"/>
      <c r="Q44" s="55">
        <f t="shared" si="3"/>
        <v>3.0036676517853126E-5</v>
      </c>
      <c r="R44" s="55">
        <f t="shared" si="4"/>
        <v>3.2010662999404895E-5</v>
      </c>
      <c r="S44" s="55">
        <f t="shared" si="2"/>
        <v>8.4054835457281133E-7</v>
      </c>
      <c r="U44" s="90">
        <v>5</v>
      </c>
      <c r="V44" s="55">
        <f ca="1">OFFSET($Q$63,ROW(R1)*6-6,0)*1000000</f>
        <v>2.7207453215157167</v>
      </c>
      <c r="W44" s="55">
        <f ca="1">OFFSET($R$63,ROW(S1)*6-6,0)*1000000</f>
        <v>4.23930084980356</v>
      </c>
      <c r="X44" s="55">
        <f ca="1">OFFSET($S$63,ROW(T1)*6-6,0)*1000000</f>
        <v>0.61465342811650781</v>
      </c>
    </row>
    <row r="45" spans="1:24" s="51" customFormat="1" ht="13" thickBot="1" x14ac:dyDescent="0.5">
      <c r="A45" s="52"/>
      <c r="B45" s="64"/>
      <c r="C45" s="66"/>
      <c r="D45" s="52"/>
      <c r="E45" s="52"/>
      <c r="F45" s="52"/>
      <c r="G45" s="52">
        <v>5</v>
      </c>
      <c r="H45" s="52">
        <v>26494609</v>
      </c>
      <c r="I45" s="52">
        <v>2235.83</v>
      </c>
      <c r="J45" s="52">
        <v>1464.14</v>
      </c>
      <c r="K45" s="52">
        <v>8.27</v>
      </c>
      <c r="L45" s="52">
        <v>20.97</v>
      </c>
      <c r="M45" s="89">
        <f>J45-K45-L45-N45</f>
        <v>23.150000000000091</v>
      </c>
      <c r="N45" s="52">
        <v>1411.75</v>
      </c>
      <c r="O45" s="27"/>
      <c r="P45" s="24"/>
      <c r="Q45" s="55">
        <f t="shared" si="3"/>
        <v>5.3284424767317762E-5</v>
      </c>
      <c r="R45" s="55">
        <f t="shared" si="4"/>
        <v>5.5261808166333014E-5</v>
      </c>
      <c r="S45" s="55">
        <f t="shared" si="2"/>
        <v>8.7376265866011053E-7</v>
      </c>
      <c r="U45" s="90">
        <v>10</v>
      </c>
      <c r="V45" s="55">
        <f t="shared" ref="V45:V49" ca="1" si="7">OFFSET($Q$63,ROW(R2)*6-6,0)*1000000</f>
        <v>3.4435155017950096</v>
      </c>
      <c r="W45" s="55">
        <f t="shared" ref="W45:W49" ca="1" si="8">OFFSET($R$63,ROW(S2)*6-6,0)*1000000</f>
        <v>4.966098191534706</v>
      </c>
      <c r="X45" s="55">
        <f t="shared" ref="X45:X49" ca="1" si="9">OFFSET($S$63,ROW(T2)*6-6,0)*1000000</f>
        <v>0.63736019570498914</v>
      </c>
    </row>
    <row r="46" spans="1:24" ht="12.7" customHeight="1" x14ac:dyDescent="0.45">
      <c r="A46" s="28">
        <v>44333</v>
      </c>
      <c r="B46" s="112" t="s">
        <v>49</v>
      </c>
      <c r="C46" s="65" t="s">
        <v>36</v>
      </c>
      <c r="D46" s="39">
        <v>1016</v>
      </c>
      <c r="E46" s="41" t="s">
        <v>39</v>
      </c>
      <c r="F46" s="39">
        <v>3</v>
      </c>
      <c r="G46" s="39">
        <v>3</v>
      </c>
      <c r="H46" s="9">
        <v>142316</v>
      </c>
      <c r="I46" s="9">
        <v>0.38</v>
      </c>
      <c r="J46" s="9">
        <v>0.16</v>
      </c>
      <c r="K46" s="9">
        <v>0.03</v>
      </c>
      <c r="L46" s="9">
        <v>0.05</v>
      </c>
      <c r="M46" s="39">
        <f>J46-K46-L46-N46</f>
        <v>0.08</v>
      </c>
      <c r="N46" s="9">
        <v>0</v>
      </c>
      <c r="O46" s="20">
        <f>(N47-N46)/N47</f>
        <v>1</v>
      </c>
      <c r="P46" s="26">
        <f>(J47-J46)/J47</f>
        <v>0.4285714285714286</v>
      </c>
      <c r="Q46" s="55">
        <f t="shared" si="3"/>
        <v>0</v>
      </c>
      <c r="R46" s="55">
        <f t="shared" si="4"/>
        <v>1.124258691925012E-6</v>
      </c>
      <c r="S46" s="55">
        <f t="shared" si="2"/>
        <v>5.6212934596250601E-7</v>
      </c>
      <c r="U46" s="90">
        <v>50</v>
      </c>
      <c r="V46" s="55">
        <f t="shared" ca="1" si="7"/>
        <v>7.6741594958115229</v>
      </c>
      <c r="W46" s="55">
        <f t="shared" ca="1" si="8"/>
        <v>9.2706549770535442</v>
      </c>
      <c r="X46" s="55">
        <f t="shared" ca="1" si="9"/>
        <v>0.71377708023783459</v>
      </c>
    </row>
    <row r="47" spans="1:24" x14ac:dyDescent="0.45">
      <c r="B47" s="112"/>
      <c r="C47" s="65"/>
      <c r="D47" s="41"/>
      <c r="E47" s="41"/>
      <c r="F47" s="41"/>
      <c r="G47" s="41">
        <v>4</v>
      </c>
      <c r="H47" s="9">
        <v>142316</v>
      </c>
      <c r="I47" s="9">
        <v>0.5</v>
      </c>
      <c r="J47" s="9">
        <v>0.28000000000000003</v>
      </c>
      <c r="K47" s="9">
        <v>0.05</v>
      </c>
      <c r="L47" s="9">
        <v>0.03</v>
      </c>
      <c r="M47" s="45">
        <f t="shared" ref="M47:M63" si="10">J47-K47-L47-N47</f>
        <v>9.0000000000000038E-2</v>
      </c>
      <c r="N47" s="41">
        <v>0.11</v>
      </c>
      <c r="Q47" s="55">
        <f t="shared" si="0"/>
        <v>7.7292785069844575E-7</v>
      </c>
      <c r="R47" s="55">
        <f t="shared" si="1"/>
        <v>1.9674527108687712E-6</v>
      </c>
      <c r="S47" s="55">
        <f t="shared" si="2"/>
        <v>6.3239551420781954E-7</v>
      </c>
      <c r="U47" s="90">
        <v>100</v>
      </c>
      <c r="V47" s="55">
        <f t="shared" ca="1" si="7"/>
        <v>13.574402943018958</v>
      </c>
      <c r="W47" s="55">
        <f t="shared" ca="1" si="8"/>
        <v>15.291390666556731</v>
      </c>
      <c r="X47" s="55">
        <f t="shared" ca="1" si="9"/>
        <v>0.83724401370529999</v>
      </c>
    </row>
    <row r="48" spans="1:24" x14ac:dyDescent="0.45">
      <c r="B48" s="112"/>
      <c r="C48" s="65"/>
      <c r="D48" s="40"/>
      <c r="E48" s="40"/>
      <c r="G48" s="9">
        <v>5</v>
      </c>
      <c r="H48" s="9">
        <v>142316</v>
      </c>
      <c r="I48" s="9">
        <v>0.57999999999999996</v>
      </c>
      <c r="J48" s="9">
        <v>0.36</v>
      </c>
      <c r="K48" s="9">
        <v>0.03</v>
      </c>
      <c r="L48" s="9">
        <v>0.05</v>
      </c>
      <c r="M48" s="45">
        <f t="shared" si="10"/>
        <v>8.9999999999999969E-2</v>
      </c>
      <c r="N48" s="9">
        <v>0.19</v>
      </c>
      <c r="Q48" s="55">
        <f t="shared" si="0"/>
        <v>1.3350571966609518E-6</v>
      </c>
      <c r="R48" s="55">
        <f t="shared" si="1"/>
        <v>2.5295820568312769E-6</v>
      </c>
      <c r="S48" s="55">
        <f t="shared" si="2"/>
        <v>6.3239551420781901E-7</v>
      </c>
      <c r="U48" s="90">
        <v>500</v>
      </c>
      <c r="V48" s="55">
        <f t="shared" ca="1" si="7"/>
        <v>30.153380611625614</v>
      </c>
      <c r="W48" s="55">
        <f t="shared" ca="1" si="8"/>
        <v>32.210507286547504</v>
      </c>
      <c r="X48" s="55">
        <f t="shared" ca="1" si="9"/>
        <v>1.1755009570982227</v>
      </c>
    </row>
    <row r="49" spans="2:35" x14ac:dyDescent="0.45">
      <c r="B49" s="112"/>
      <c r="C49" s="65"/>
      <c r="D49" s="40"/>
      <c r="E49" s="40"/>
      <c r="F49" s="9">
        <v>4</v>
      </c>
      <c r="G49" s="39">
        <v>3</v>
      </c>
      <c r="H49" s="9">
        <v>547476</v>
      </c>
      <c r="I49" s="9">
        <v>1.48</v>
      </c>
      <c r="J49" s="9">
        <v>0.68</v>
      </c>
      <c r="K49" s="9">
        <v>0.14000000000000001</v>
      </c>
      <c r="L49" s="9">
        <v>0.22</v>
      </c>
      <c r="M49" s="45">
        <f t="shared" si="10"/>
        <v>0.27000000000000007</v>
      </c>
      <c r="N49" s="9">
        <v>0.05</v>
      </c>
      <c r="O49" s="20">
        <f>(N50-N49)/N50</f>
        <v>0.88888888888888895</v>
      </c>
      <c r="P49" s="26">
        <f>(J50-J49)/J50</f>
        <v>0.39285714285714285</v>
      </c>
      <c r="Q49" s="55">
        <f t="shared" si="0"/>
        <v>9.1328204341377526E-8</v>
      </c>
      <c r="R49" s="55">
        <f t="shared" si="1"/>
        <v>1.2420635790427344E-6</v>
      </c>
      <c r="S49" s="55">
        <f t="shared" si="2"/>
        <v>4.931723034434388E-7</v>
      </c>
      <c r="U49" s="90">
        <v>1000</v>
      </c>
      <c r="V49" s="55">
        <f t="shared" ca="1" si="7"/>
        <v>50.060781039725988</v>
      </c>
      <c r="W49" s="55">
        <f t="shared" ca="1" si="8"/>
        <v>52.510869462788946</v>
      </c>
      <c r="X49" s="55">
        <f t="shared" ca="1" si="9"/>
        <v>1.5660821605292528</v>
      </c>
    </row>
    <row r="50" spans="2:35" x14ac:dyDescent="0.45">
      <c r="B50" s="112"/>
      <c r="G50" s="41">
        <v>4</v>
      </c>
      <c r="H50" s="9">
        <v>547476</v>
      </c>
      <c r="I50" s="9">
        <v>1.89</v>
      </c>
      <c r="J50" s="9">
        <v>1.1200000000000001</v>
      </c>
      <c r="K50" s="9">
        <v>0.14000000000000001</v>
      </c>
      <c r="L50" s="9">
        <v>0.25</v>
      </c>
      <c r="M50" s="45">
        <f t="shared" si="10"/>
        <v>0.28000000000000008</v>
      </c>
      <c r="N50" s="9">
        <v>0.45</v>
      </c>
      <c r="Q50" s="55">
        <f t="shared" si="0"/>
        <v>8.2195383907239768E-7</v>
      </c>
      <c r="R50" s="55">
        <f t="shared" si="1"/>
        <v>2.0457517772468566E-6</v>
      </c>
      <c r="S50" s="55">
        <f t="shared" si="2"/>
        <v>5.1143794431171425E-7</v>
      </c>
    </row>
    <row r="51" spans="2:35" x14ac:dyDescent="0.45">
      <c r="B51" s="112"/>
      <c r="G51" s="9">
        <v>5</v>
      </c>
      <c r="H51" s="9">
        <v>547476</v>
      </c>
      <c r="I51" s="9">
        <v>2.2200000000000002</v>
      </c>
      <c r="J51" s="9">
        <v>1.44</v>
      </c>
      <c r="K51" s="9">
        <v>0.16</v>
      </c>
      <c r="L51" s="9">
        <v>0.22</v>
      </c>
      <c r="M51" s="45">
        <f t="shared" si="10"/>
        <v>0.26</v>
      </c>
      <c r="N51" s="9">
        <v>0.8</v>
      </c>
      <c r="Q51" s="55">
        <f t="shared" si="0"/>
        <v>1.4612512694620404E-6</v>
      </c>
      <c r="R51" s="55">
        <f t="shared" si="1"/>
        <v>2.6302522850316723E-6</v>
      </c>
      <c r="S51" s="55">
        <f t="shared" si="2"/>
        <v>4.7490666257516313E-7</v>
      </c>
      <c r="W51" s="40"/>
      <c r="X51" s="40"/>
      <c r="Y51" s="40"/>
      <c r="Z51" s="40"/>
      <c r="AA51" s="40"/>
      <c r="AB51" s="40"/>
      <c r="AC51" s="40"/>
    </row>
    <row r="52" spans="2:35" x14ac:dyDescent="0.45">
      <c r="B52" s="112"/>
      <c r="F52" s="40">
        <v>5</v>
      </c>
      <c r="G52" s="39">
        <v>3</v>
      </c>
      <c r="H52" s="41">
        <v>2174416</v>
      </c>
      <c r="I52" s="41">
        <v>6.14</v>
      </c>
      <c r="J52" s="41">
        <v>3.09</v>
      </c>
      <c r="K52" s="41">
        <v>0.67</v>
      </c>
      <c r="L52" s="41">
        <v>1.23</v>
      </c>
      <c r="M52" s="45">
        <f t="shared" si="10"/>
        <v>1</v>
      </c>
      <c r="N52" s="41">
        <v>0.19</v>
      </c>
      <c r="O52" s="20">
        <f>(N53-N52)/N53</f>
        <v>0.89325842696629221</v>
      </c>
      <c r="P52" s="26">
        <f>(J53-J52)/J53</f>
        <v>0.35625000000000001</v>
      </c>
      <c r="Q52" s="55">
        <f t="shared" si="0"/>
        <v>8.7379783813216969E-8</v>
      </c>
      <c r="R52" s="55">
        <f t="shared" si="1"/>
        <v>1.4210712209623182E-6</v>
      </c>
      <c r="S52" s="55">
        <f t="shared" si="2"/>
        <v>4.5989359901693145E-7</v>
      </c>
    </row>
    <row r="53" spans="2:35" x14ac:dyDescent="0.45">
      <c r="B53" s="112"/>
      <c r="F53" s="40"/>
      <c r="G53" s="41">
        <v>4</v>
      </c>
      <c r="H53" s="41">
        <v>2174416</v>
      </c>
      <c r="I53" s="41">
        <v>7.84</v>
      </c>
      <c r="J53" s="41">
        <v>4.8</v>
      </c>
      <c r="K53" s="41">
        <v>0.66</v>
      </c>
      <c r="L53" s="41">
        <v>1.22</v>
      </c>
      <c r="M53" s="45">
        <f t="shared" si="10"/>
        <v>1.1399999999999999</v>
      </c>
      <c r="N53" s="41">
        <v>1.78</v>
      </c>
      <c r="O53" s="22"/>
      <c r="P53" s="21"/>
      <c r="Q53" s="55">
        <f t="shared" si="0"/>
        <v>8.1861060625013796E-7</v>
      </c>
      <c r="R53" s="55">
        <f t="shared" si="1"/>
        <v>2.207489275281271E-6</v>
      </c>
      <c r="S53" s="55">
        <f t="shared" si="2"/>
        <v>5.2427870287930176E-7</v>
      </c>
    </row>
    <row r="54" spans="2:35" x14ac:dyDescent="0.45">
      <c r="B54" s="112"/>
      <c r="G54" s="9">
        <v>5</v>
      </c>
      <c r="H54" s="9">
        <v>2174416</v>
      </c>
      <c r="I54" s="9">
        <v>9.34</v>
      </c>
      <c r="J54" s="9">
        <v>6.11</v>
      </c>
      <c r="K54" s="9">
        <v>0.66</v>
      </c>
      <c r="L54" s="9">
        <v>1.22</v>
      </c>
      <c r="M54" s="45">
        <f t="shared" si="10"/>
        <v>1.1100000000000003</v>
      </c>
      <c r="N54" s="9">
        <v>3.12</v>
      </c>
      <c r="Q54" s="55">
        <f t="shared" si="0"/>
        <v>1.4348680289328262E-6</v>
      </c>
      <c r="R54" s="55">
        <f t="shared" si="1"/>
        <v>2.8099498899934511E-6</v>
      </c>
      <c r="S54" s="55">
        <f t="shared" si="2"/>
        <v>5.1048189490879403E-7</v>
      </c>
      <c r="AA54" s="9" t="s">
        <v>54</v>
      </c>
      <c r="AB54" s="9" t="s">
        <v>53</v>
      </c>
      <c r="AC54" s="9" t="s">
        <v>52</v>
      </c>
    </row>
    <row r="55" spans="2:35" x14ac:dyDescent="0.45">
      <c r="B55" s="112"/>
      <c r="F55" s="9">
        <v>6</v>
      </c>
      <c r="G55" s="39">
        <v>3</v>
      </c>
      <c r="H55" s="9">
        <v>8690184</v>
      </c>
      <c r="I55" s="9">
        <v>26.12</v>
      </c>
      <c r="J55" s="9">
        <v>13.97</v>
      </c>
      <c r="K55" s="9">
        <v>2.83</v>
      </c>
      <c r="L55" s="9">
        <v>6.22</v>
      </c>
      <c r="M55" s="45">
        <f t="shared" si="10"/>
        <v>4.0300000000000011</v>
      </c>
      <c r="N55" s="9">
        <v>0.89</v>
      </c>
      <c r="O55" s="20">
        <f>(N56-N55)/N56</f>
        <v>0.87774725274725285</v>
      </c>
      <c r="P55" s="26">
        <f>(J56-J55)/J56</f>
        <v>0.32118561710398436</v>
      </c>
      <c r="Q55" s="55">
        <f t="shared" si="0"/>
        <v>1.0241440227272518E-7</v>
      </c>
      <c r="R55" s="55">
        <f t="shared" si="1"/>
        <v>1.607560898595473E-6</v>
      </c>
      <c r="S55" s="55">
        <f t="shared" si="2"/>
        <v>4.637416192798681E-7</v>
      </c>
      <c r="T55" s="55">
        <f ca="1">OFFSET($H$46,ROW(P1)*3-3,0)/1000000</f>
        <v>0.142316</v>
      </c>
      <c r="U55" s="9">
        <v>3</v>
      </c>
      <c r="V55" s="55">
        <f ca="1">OFFSET($R$46,ROW(R1)*3-3,0)</f>
        <v>1.124258691925012E-6</v>
      </c>
      <c r="W55" s="55">
        <f ca="1">OFFSET($R$47,ROW(T1)*3-3,0)</f>
        <v>1.9674527108687712E-6</v>
      </c>
      <c r="X55" s="55">
        <f ca="1">OFFSET($R$48,ROW(U1)*3-3,0)</f>
        <v>2.5295820568312769E-6</v>
      </c>
      <c r="Y55" s="47"/>
      <c r="Z55" s="55"/>
      <c r="AA55" s="55">
        <f ca="1">V55*1000000</f>
        <v>1.1242586919250119</v>
      </c>
      <c r="AB55" s="55">
        <f ca="1">W55*1000000</f>
        <v>1.9674527108687712</v>
      </c>
      <c r="AC55" s="55">
        <f ca="1">X55*1000000</f>
        <v>2.529582056831277</v>
      </c>
      <c r="AE55" s="55">
        <f ca="1">OFFSET($J$46,ROW(AB1)*3-3,0)</f>
        <v>0.16</v>
      </c>
      <c r="AF55" s="55">
        <f ca="1">OFFSET($J$47,ROW(AC1)*3-3,0)</f>
        <v>0.28000000000000003</v>
      </c>
      <c r="AG55" s="55">
        <f ca="1">OFFSET($J$48,ROW(AD1)*3-3,0)</f>
        <v>0.36</v>
      </c>
    </row>
    <row r="56" spans="2:35" x14ac:dyDescent="0.45">
      <c r="G56" s="41">
        <v>4</v>
      </c>
      <c r="H56" s="9">
        <v>8690184</v>
      </c>
      <c r="I56" s="9">
        <v>32.92</v>
      </c>
      <c r="J56" s="9">
        <v>20.58</v>
      </c>
      <c r="K56" s="9">
        <v>2.89</v>
      </c>
      <c r="L56" s="9">
        <v>6.23</v>
      </c>
      <c r="M56" s="45">
        <f t="shared" si="10"/>
        <v>4.1799999999999971</v>
      </c>
      <c r="N56" s="9">
        <v>7.28</v>
      </c>
      <c r="Q56" s="55">
        <f t="shared" si="0"/>
        <v>8.3772679611847116E-7</v>
      </c>
      <c r="R56" s="55">
        <f t="shared" si="1"/>
        <v>2.3681892121041392E-6</v>
      </c>
      <c r="S56" s="55">
        <f t="shared" si="2"/>
        <v>4.810024735954954E-7</v>
      </c>
      <c r="T56" s="55">
        <f ca="1">OFFSET($H$46,ROW(P2)*3-3,0)/1000000</f>
        <v>0.54747599999999996</v>
      </c>
      <c r="U56" s="9">
        <v>4</v>
      </c>
      <c r="V56" s="55">
        <f ca="1">OFFSET($R$46,ROW(R2)*3-3,0)</f>
        <v>1.2420635790427344E-6</v>
      </c>
      <c r="W56" s="55">
        <f ca="1">OFFSET($R$47,ROW(T2)*3-3,0)</f>
        <v>2.0457517772468566E-6</v>
      </c>
      <c r="X56" s="55">
        <f ca="1">OFFSET($R$48,ROW(U2)*3-3,0)</f>
        <v>2.6302522850316723E-6</v>
      </c>
      <c r="Y56" s="47"/>
      <c r="Z56" s="55"/>
      <c r="AA56" s="55">
        <f t="shared" ref="AA56:AA67" ca="1" si="11">V56*1000000</f>
        <v>1.2420635790427343</v>
      </c>
      <c r="AB56" s="55">
        <f t="shared" ref="AB56:AC59" ca="1" si="12">W56*1000000</f>
        <v>2.0457517772468568</v>
      </c>
      <c r="AC56" s="55">
        <f t="shared" ca="1" si="12"/>
        <v>2.6302522850316725</v>
      </c>
      <c r="AE56" s="55">
        <f ca="1">OFFSET($J$46,ROW(AB2)*3-3,0)</f>
        <v>0.68</v>
      </c>
      <c r="AF56" s="55">
        <f ca="1">OFFSET($J$47,ROW(AC2)*3-3,0)</f>
        <v>1.1200000000000001</v>
      </c>
      <c r="AG56" s="55">
        <f ca="1">OFFSET($J$48,ROW(AD2)*3-3,0)</f>
        <v>1.44</v>
      </c>
    </row>
    <row r="57" spans="2:35" x14ac:dyDescent="0.45">
      <c r="G57" s="9">
        <v>5</v>
      </c>
      <c r="H57" s="9">
        <v>8690184</v>
      </c>
      <c r="I57" s="9">
        <v>37.880000000000003</v>
      </c>
      <c r="J57" s="9">
        <v>25.45</v>
      </c>
      <c r="K57" s="9">
        <v>2.78</v>
      </c>
      <c r="L57" s="9">
        <v>6.16</v>
      </c>
      <c r="M57" s="45">
        <f t="shared" si="10"/>
        <v>4.0299999999999976</v>
      </c>
      <c r="N57" s="9">
        <v>12.48</v>
      </c>
      <c r="Q57" s="55">
        <f t="shared" si="0"/>
        <v>1.4361030790602363E-6</v>
      </c>
      <c r="R57" s="55">
        <f t="shared" si="1"/>
        <v>2.9285916155515235E-6</v>
      </c>
      <c r="S57" s="55">
        <f t="shared" si="2"/>
        <v>4.6374161927986767E-7</v>
      </c>
      <c r="T57" s="55">
        <f ca="1">OFFSET($H$46,ROW(P3)*3-3,0)/1000000</f>
        <v>2.1744159999999999</v>
      </c>
      <c r="U57" s="47">
        <v>5</v>
      </c>
      <c r="V57" s="55">
        <f ca="1">OFFSET($R$46,ROW(R3)*3-3,0)</f>
        <v>1.4210712209623182E-6</v>
      </c>
      <c r="W57" s="55">
        <f ca="1">OFFSET($R$47,ROW(T3)*3-3,0)</f>
        <v>2.207489275281271E-6</v>
      </c>
      <c r="X57" s="55">
        <f ca="1">OFFSET($R$48,ROW(U3)*3-3,0)</f>
        <v>2.8099498899934511E-6</v>
      </c>
      <c r="Y57" s="47"/>
      <c r="Z57" s="55"/>
      <c r="AA57" s="55">
        <f t="shared" ca="1" si="11"/>
        <v>1.4210712209623182</v>
      </c>
      <c r="AB57" s="55">
        <f t="shared" ca="1" si="12"/>
        <v>2.2074892752812709</v>
      </c>
      <c r="AC57" s="55">
        <f t="shared" ca="1" si="12"/>
        <v>2.809949889993451</v>
      </c>
      <c r="AE57" s="55">
        <f ca="1">OFFSET($J$46,ROW(AB3)*3-3,0)</f>
        <v>3.09</v>
      </c>
      <c r="AF57" s="55">
        <f ca="1">OFFSET($J$47,ROW(AC3)*3-3,0)</f>
        <v>4.8</v>
      </c>
      <c r="AG57" s="55">
        <f ca="1">OFFSET($J$48,ROW(AD3)*3-3,0)</f>
        <v>6.11</v>
      </c>
    </row>
    <row r="58" spans="2:35" x14ac:dyDescent="0.45">
      <c r="F58" s="9">
        <v>7</v>
      </c>
      <c r="G58" s="40">
        <v>3</v>
      </c>
      <c r="H58" s="40">
        <v>35013453</v>
      </c>
      <c r="I58" s="40">
        <v>112.23</v>
      </c>
      <c r="J58" s="40">
        <v>60.02</v>
      </c>
      <c r="K58" s="40">
        <v>11.89</v>
      </c>
      <c r="L58" s="40">
        <v>28.47</v>
      </c>
      <c r="M58" s="45">
        <f t="shared" si="10"/>
        <v>15.830000000000004</v>
      </c>
      <c r="N58" s="40">
        <v>3.83</v>
      </c>
      <c r="O58" s="20">
        <f>(N59-N58)/N59</f>
        <v>0.86584938704028014</v>
      </c>
      <c r="P58" s="26">
        <f>(J59-J58)/J59</f>
        <v>0.29313390648922383</v>
      </c>
      <c r="Q58" s="55">
        <f t="shared" si="0"/>
        <v>1.0938652637316291E-7</v>
      </c>
      <c r="R58" s="55">
        <f t="shared" si="1"/>
        <v>1.7141982540253886E-6</v>
      </c>
      <c r="S58" s="55">
        <f t="shared" si="2"/>
        <v>4.5211193537524001E-7</v>
      </c>
      <c r="T58" s="55">
        <f ca="1">OFFSET($H$46,ROW(P4)*3-3,0)/1000000</f>
        <v>8.6901840000000004</v>
      </c>
      <c r="U58" s="47">
        <v>6</v>
      </c>
      <c r="V58" s="55">
        <f ca="1">OFFSET($R$46,ROW(R4)*3-3,0)</f>
        <v>1.607560898595473E-6</v>
      </c>
      <c r="W58" s="55">
        <f ca="1">OFFSET($R$47,ROW(T4)*3-3,0)</f>
        <v>2.3681892121041392E-6</v>
      </c>
      <c r="X58" s="55">
        <f ca="1">OFFSET($R$48,ROW(U4)*3-3,0)</f>
        <v>2.9285916155515235E-6</v>
      </c>
      <c r="Y58" s="47"/>
      <c r="Z58" s="55"/>
      <c r="AA58" s="55">
        <f t="shared" ca="1" si="11"/>
        <v>1.607560898595473</v>
      </c>
      <c r="AB58" s="55">
        <f t="shared" ca="1" si="12"/>
        <v>2.3681892121041392</v>
      </c>
      <c r="AC58" s="55">
        <f t="shared" ca="1" si="12"/>
        <v>2.9285916155515235</v>
      </c>
      <c r="AE58" s="55">
        <f ca="1">OFFSET($J$46,ROW(AB4)*3-3,0)</f>
        <v>13.97</v>
      </c>
      <c r="AF58" s="55">
        <f ca="1">OFFSET($J$47,ROW(AC4)*3-3,0)</f>
        <v>20.58</v>
      </c>
      <c r="AG58" s="55">
        <f ca="1">OFFSET($J$48,ROW(AD4)*3-3,0)</f>
        <v>25.45</v>
      </c>
    </row>
    <row r="59" spans="2:35" x14ac:dyDescent="0.45">
      <c r="G59" s="40">
        <v>4</v>
      </c>
      <c r="H59" s="40">
        <v>35013453</v>
      </c>
      <c r="I59" s="40">
        <v>135.22999999999999</v>
      </c>
      <c r="J59" s="40">
        <v>84.91</v>
      </c>
      <c r="K59" s="40">
        <v>12.59</v>
      </c>
      <c r="L59" s="40">
        <v>27.94</v>
      </c>
      <c r="M59" s="45">
        <f t="shared" si="10"/>
        <v>15.829999999999995</v>
      </c>
      <c r="N59" s="41">
        <v>28.55</v>
      </c>
      <c r="O59" s="20"/>
      <c r="P59" s="26"/>
      <c r="Q59" s="55">
        <f t="shared" si="0"/>
        <v>8.1540086891744154E-7</v>
      </c>
      <c r="R59" s="55">
        <f t="shared" si="1"/>
        <v>2.4250678731971966E-6</v>
      </c>
      <c r="S59" s="55">
        <f t="shared" si="2"/>
        <v>4.5211193537523975E-7</v>
      </c>
      <c r="T59" s="55">
        <f ca="1">OFFSET($H$46,ROW(P5)*3-3,0)/1000000</f>
        <v>35.013452999999998</v>
      </c>
      <c r="U59" s="47">
        <v>7</v>
      </c>
      <c r="V59" s="55">
        <f ca="1">OFFSET($R$46,ROW(R5)*3-3,0)</f>
        <v>1.7141982540253886E-6</v>
      </c>
      <c r="W59" s="55">
        <f ca="1">OFFSET($R$47,ROW(T5)*3-3,0)</f>
        <v>2.4250678731971966E-6</v>
      </c>
      <c r="X59" s="55">
        <f ca="1">OFFSET($R$48,ROW(U5)*3-3,0)</f>
        <v>3.0482569085659735E-6</v>
      </c>
      <c r="Y59" s="47"/>
      <c r="Z59" s="55"/>
      <c r="AA59" s="55">
        <f t="shared" ca="1" si="11"/>
        <v>1.7141982540253886</v>
      </c>
      <c r="AB59" s="55">
        <f t="shared" ca="1" si="12"/>
        <v>2.4250678731971966</v>
      </c>
      <c r="AC59" s="55">
        <f t="shared" ca="1" si="12"/>
        <v>3.0482569085659734</v>
      </c>
      <c r="AE59" s="55">
        <f ca="1">OFFSET($J$46,ROW(AB5)*3-3,0)</f>
        <v>60.02</v>
      </c>
      <c r="AF59" s="55">
        <f ca="1">OFFSET($J$47,ROW(AC5)*3-3,0)</f>
        <v>84.91</v>
      </c>
      <c r="AG59" s="55">
        <f ca="1">OFFSET($J$48,ROW(AD5)*3-3,0)</f>
        <v>106.73</v>
      </c>
    </row>
    <row r="60" spans="2:35" ht="13" thickBot="1" x14ac:dyDescent="0.5">
      <c r="D60" s="48"/>
      <c r="E60" s="48"/>
      <c r="F60" s="48"/>
      <c r="G60" s="48">
        <v>5</v>
      </c>
      <c r="H60" s="48">
        <v>35013453</v>
      </c>
      <c r="I60" s="48">
        <v>156.72999999999999</v>
      </c>
      <c r="J60" s="48">
        <v>106.73</v>
      </c>
      <c r="K60" s="48">
        <v>12.02</v>
      </c>
      <c r="L60" s="48">
        <v>27.03</v>
      </c>
      <c r="M60" s="46">
        <f t="shared" si="10"/>
        <v>15.900000000000006</v>
      </c>
      <c r="N60" s="48">
        <v>51.78</v>
      </c>
      <c r="O60" s="20"/>
      <c r="P60" s="26"/>
      <c r="Q60" s="55">
        <f t="shared" si="0"/>
        <v>1.4788601398439623E-6</v>
      </c>
      <c r="R60" s="55">
        <f t="shared" si="1"/>
        <v>3.0482569085659735E-6</v>
      </c>
      <c r="S60" s="55">
        <f t="shared" si="2"/>
        <v>4.541111669277522E-7</v>
      </c>
      <c r="AA60" s="55"/>
    </row>
    <row r="61" spans="2:35" x14ac:dyDescent="0.45">
      <c r="D61" s="9">
        <v>4994</v>
      </c>
      <c r="F61" s="47">
        <v>5</v>
      </c>
      <c r="G61" s="45">
        <v>3</v>
      </c>
      <c r="H61" s="9">
        <v>2212629</v>
      </c>
      <c r="I61" s="9">
        <v>6.7</v>
      </c>
      <c r="J61" s="9">
        <v>3.52</v>
      </c>
      <c r="K61" s="9">
        <v>0.67</v>
      </c>
      <c r="L61" s="9">
        <v>1.28</v>
      </c>
      <c r="M61" s="45">
        <f t="shared" si="10"/>
        <v>1.3800000000000001</v>
      </c>
      <c r="N61" s="9">
        <v>0.19</v>
      </c>
      <c r="O61" s="20">
        <f>(N62-N61)/N62</f>
        <v>0.94444444444444442</v>
      </c>
      <c r="P61" s="26">
        <f>(J62-J61)/J62</f>
        <v>0.47462686567164181</v>
      </c>
      <c r="Q61" s="55">
        <f>N61/H61</f>
        <v>8.5870699516276794E-8</v>
      </c>
      <c r="R61" s="55">
        <f>J61/H61</f>
        <v>1.590867696301549E-6</v>
      </c>
      <c r="S61" s="55">
        <f t="shared" si="2"/>
        <v>6.2369244911822101E-7</v>
      </c>
      <c r="U61" s="9">
        <v>1</v>
      </c>
      <c r="V61" s="55">
        <f ca="1">V57</f>
        <v>1.4210712209623182E-6</v>
      </c>
      <c r="W61" s="55">
        <f ca="1">W57</f>
        <v>2.207489275281271E-6</v>
      </c>
      <c r="X61" s="55">
        <f ca="1">X57</f>
        <v>2.8099498899934511E-6</v>
      </c>
      <c r="Z61" s="55"/>
      <c r="AA61" s="55">
        <f t="shared" ca="1" si="11"/>
        <v>1.4210712209623182</v>
      </c>
      <c r="AB61" s="55">
        <f t="shared" ref="AB61:AB67" ca="1" si="13">W61*1000000</f>
        <v>2.2074892752812709</v>
      </c>
      <c r="AC61" s="55">
        <f t="shared" ref="AC61:AC67" ca="1" si="14">X61*1000000</f>
        <v>2.809949889993451</v>
      </c>
      <c r="AD61" s="55"/>
      <c r="AE61" s="55"/>
      <c r="AF61" s="55"/>
      <c r="AG61" s="55"/>
      <c r="AH61" s="55"/>
      <c r="AI61" s="55"/>
    </row>
    <row r="62" spans="2:35" x14ac:dyDescent="0.45">
      <c r="F62" s="47"/>
      <c r="G62" s="49">
        <v>4</v>
      </c>
      <c r="H62" s="9">
        <v>2212629</v>
      </c>
      <c r="I62" s="9">
        <v>10.08</v>
      </c>
      <c r="J62" s="9">
        <v>6.7</v>
      </c>
      <c r="K62" s="9">
        <v>0.67</v>
      </c>
      <c r="L62" s="9">
        <v>1.34</v>
      </c>
      <c r="M62" s="45">
        <f t="shared" si="10"/>
        <v>1.2700000000000005</v>
      </c>
      <c r="N62" s="9">
        <v>3.42</v>
      </c>
      <c r="O62" s="20"/>
      <c r="P62" s="26"/>
      <c r="Q62" s="55">
        <f t="shared" ref="Q62:Q96" si="15">N62/H62</f>
        <v>1.5456725912929822E-6</v>
      </c>
      <c r="R62" s="55">
        <f t="shared" ref="R62:R96" si="16">J62/H62</f>
        <v>3.0280720355739713E-6</v>
      </c>
      <c r="S62" s="55">
        <f t="shared" si="2"/>
        <v>5.7397783360879771E-7</v>
      </c>
      <c r="U62" s="9">
        <v>5</v>
      </c>
      <c r="V62" s="55">
        <f t="shared" ref="V62:V67" ca="1" si="17">OFFSET($R$61,ROW(R1)*6-6,0)</f>
        <v>1.590867696301549E-6</v>
      </c>
      <c r="W62" s="55">
        <f t="shared" ref="W62:W67" ca="1" si="18">OFFSET($R$62,ROW(T1)*6-6,0)</f>
        <v>3.0280720355739713E-6</v>
      </c>
      <c r="X62" s="55">
        <f t="shared" ref="X62:X67" ca="1" si="19">OFFSET($R$63,ROW(U1)*6-6,0)</f>
        <v>4.2393008498035601E-6</v>
      </c>
      <c r="Y62" s="55"/>
      <c r="AA62" s="55">
        <f t="shared" ca="1" si="11"/>
        <v>1.5908676963015491</v>
      </c>
      <c r="AB62" s="55">
        <f t="shared" ca="1" si="13"/>
        <v>3.0280720355739712</v>
      </c>
      <c r="AC62" s="55">
        <f t="shared" ca="1" si="14"/>
        <v>4.23930084980356</v>
      </c>
      <c r="AD62" s="55"/>
      <c r="AE62" s="55"/>
      <c r="AG62" s="55"/>
      <c r="AH62" s="55"/>
    </row>
    <row r="63" spans="2:35" x14ac:dyDescent="0.45">
      <c r="F63" s="47"/>
      <c r="G63" s="47">
        <v>5</v>
      </c>
      <c r="H63" s="9">
        <v>2212629</v>
      </c>
      <c r="I63" s="9">
        <v>12.59</v>
      </c>
      <c r="J63" s="9">
        <v>9.3800000000000008</v>
      </c>
      <c r="K63" s="9">
        <v>0.72</v>
      </c>
      <c r="L63" s="9">
        <v>1.28</v>
      </c>
      <c r="M63" s="45">
        <f t="shared" si="10"/>
        <v>1.3600000000000003</v>
      </c>
      <c r="N63" s="9">
        <v>6.02</v>
      </c>
      <c r="O63" s="20"/>
      <c r="P63" s="26"/>
      <c r="Q63" s="55">
        <f t="shared" si="15"/>
        <v>2.7207453215157169E-6</v>
      </c>
      <c r="R63" s="55">
        <f t="shared" si="16"/>
        <v>4.2393008498035601E-6</v>
      </c>
      <c r="S63" s="55">
        <f t="shared" si="2"/>
        <v>6.1465342811650775E-7</v>
      </c>
      <c r="T63" s="47"/>
      <c r="U63" s="47">
        <v>10</v>
      </c>
      <c r="V63" s="55">
        <f t="shared" ca="1" si="17"/>
        <v>1.5756960393817784E-6</v>
      </c>
      <c r="W63" s="55">
        <f t="shared" ca="1" si="18"/>
        <v>3.5010549639072659E-6</v>
      </c>
      <c r="X63" s="55">
        <f t="shared" ca="1" si="19"/>
        <v>4.9660981915347062E-6</v>
      </c>
      <c r="Z63" s="55"/>
      <c r="AA63" s="55">
        <f t="shared" ca="1" si="11"/>
        <v>1.5756960393817785</v>
      </c>
      <c r="AB63" s="55">
        <f t="shared" ca="1" si="13"/>
        <v>3.5010549639072659</v>
      </c>
      <c r="AC63" s="55">
        <f t="shared" ca="1" si="14"/>
        <v>4.966098191534706</v>
      </c>
      <c r="AD63" s="55"/>
      <c r="AE63" s="55"/>
      <c r="AG63" s="55"/>
      <c r="AH63" s="55"/>
    </row>
    <row r="64" spans="2:35" x14ac:dyDescent="0.45">
      <c r="F64" s="47">
        <v>7</v>
      </c>
      <c r="G64" s="47">
        <v>3</v>
      </c>
      <c r="O64" s="20"/>
      <c r="P64" s="26"/>
      <c r="Q64" s="55" t="e">
        <f t="shared" si="15"/>
        <v>#DIV/0!</v>
      </c>
      <c r="R64" s="55" t="e">
        <f t="shared" si="16"/>
        <v>#DIV/0!</v>
      </c>
      <c r="S64" s="55" t="e">
        <f t="shared" si="2"/>
        <v>#DIV/0!</v>
      </c>
      <c r="T64" s="47"/>
      <c r="U64" s="47">
        <v>50</v>
      </c>
      <c r="V64" s="55">
        <f t="shared" ca="1" si="17"/>
        <v>1.7612132689892155E-6</v>
      </c>
      <c r="W64" s="55">
        <f t="shared" ca="1" si="18"/>
        <v>5.9594050900330535E-6</v>
      </c>
      <c r="X64" s="55">
        <f t="shared" ca="1" si="19"/>
        <v>9.2706549770535448E-6</v>
      </c>
      <c r="Z64" s="55"/>
      <c r="AA64" s="55">
        <f t="shared" ca="1" si="11"/>
        <v>1.7612132689892155</v>
      </c>
      <c r="AB64" s="55">
        <f t="shared" ca="1" si="13"/>
        <v>5.9594050900330533</v>
      </c>
      <c r="AC64" s="55">
        <f t="shared" ca="1" si="14"/>
        <v>9.2706549770535442</v>
      </c>
      <c r="AD64" s="55"/>
      <c r="AE64" s="55"/>
      <c r="AG64" s="55"/>
      <c r="AH64" s="55"/>
    </row>
    <row r="65" spans="4:34" x14ac:dyDescent="0.45">
      <c r="F65" s="47"/>
      <c r="G65" s="47">
        <v>4</v>
      </c>
      <c r="O65" s="20"/>
      <c r="P65" s="26"/>
      <c r="Q65" s="55" t="e">
        <f t="shared" si="15"/>
        <v>#DIV/0!</v>
      </c>
      <c r="R65" s="55" t="e">
        <f t="shared" si="16"/>
        <v>#DIV/0!</v>
      </c>
      <c r="S65" s="55" t="e">
        <f t="shared" si="2"/>
        <v>#DIV/0!</v>
      </c>
      <c r="T65" s="47"/>
      <c r="U65" s="47">
        <v>100</v>
      </c>
      <c r="V65" s="55">
        <f t="shared" ca="1" si="17"/>
        <v>1.8317369030811429E-6</v>
      </c>
      <c r="W65" s="55">
        <f t="shared" ca="1" si="18"/>
        <v>9.0906850016022389E-6</v>
      </c>
      <c r="X65" s="55">
        <f t="shared" ca="1" si="19"/>
        <v>1.5291390666556732E-5</v>
      </c>
      <c r="Z65" s="55"/>
      <c r="AA65" s="55">
        <f t="shared" ca="1" si="11"/>
        <v>1.831736903081143</v>
      </c>
      <c r="AB65" s="55">
        <f t="shared" ca="1" si="13"/>
        <v>9.0906850016022389</v>
      </c>
      <c r="AC65" s="55">
        <f t="shared" ca="1" si="14"/>
        <v>15.291390666556731</v>
      </c>
      <c r="AD65" s="55"/>
      <c r="AE65" s="55"/>
      <c r="AG65" s="55"/>
      <c r="AH65" s="55"/>
    </row>
    <row r="66" spans="4:34" x14ac:dyDescent="0.45">
      <c r="F66" s="47"/>
      <c r="G66" s="47">
        <v>5</v>
      </c>
      <c r="O66" s="20"/>
      <c r="P66" s="26"/>
      <c r="Q66" s="55" t="e">
        <f t="shared" si="15"/>
        <v>#DIV/0!</v>
      </c>
      <c r="R66" s="55" t="e">
        <f t="shared" si="16"/>
        <v>#DIV/0!</v>
      </c>
      <c r="S66" s="55" t="e">
        <f t="shared" si="2"/>
        <v>#DIV/0!</v>
      </c>
      <c r="T66" s="47"/>
      <c r="U66" s="47">
        <v>500</v>
      </c>
      <c r="V66" s="55">
        <f t="shared" ca="1" si="17"/>
        <v>2.3287386384938274E-6</v>
      </c>
      <c r="W66" s="55">
        <f t="shared" ca="1" si="18"/>
        <v>1.9035100725738263E-5</v>
      </c>
      <c r="X66" s="55">
        <f t="shared" ca="1" si="19"/>
        <v>3.2210507286547504E-5</v>
      </c>
      <c r="Z66" s="55"/>
      <c r="AA66" s="55">
        <f t="shared" ca="1" si="11"/>
        <v>2.3287386384938276</v>
      </c>
      <c r="AB66" s="55">
        <f t="shared" ca="1" si="13"/>
        <v>19.035100725738264</v>
      </c>
      <c r="AC66" s="55">
        <f t="shared" ca="1" si="14"/>
        <v>32.210507286547504</v>
      </c>
      <c r="AD66" s="55"/>
      <c r="AE66" s="55"/>
      <c r="AG66" s="55"/>
      <c r="AH66" s="55"/>
    </row>
    <row r="67" spans="4:34" x14ac:dyDescent="0.45">
      <c r="D67" s="9">
        <v>10278</v>
      </c>
      <c r="F67" s="47">
        <v>5</v>
      </c>
      <c r="G67" s="45">
        <v>3</v>
      </c>
      <c r="H67" s="47">
        <v>2259319</v>
      </c>
      <c r="I67" s="47">
        <v>6.91</v>
      </c>
      <c r="J67" s="47">
        <v>3.56</v>
      </c>
      <c r="K67" s="47">
        <v>0.67</v>
      </c>
      <c r="L67" s="47">
        <v>1.31</v>
      </c>
      <c r="M67" s="45">
        <f t="shared" ref="M67:M96" si="20">J67-K67-L67-N67</f>
        <v>1.3800000000000001</v>
      </c>
      <c r="N67" s="47">
        <v>0.2</v>
      </c>
      <c r="O67" s="20">
        <f>(N68-N67)/N68</f>
        <v>0.95391705069124422</v>
      </c>
      <c r="P67" s="26">
        <f>(J68-J67)/J68</f>
        <v>0.54993678887484188</v>
      </c>
      <c r="Q67" s="55">
        <f t="shared" si="15"/>
        <v>8.8522249403470691E-8</v>
      </c>
      <c r="R67" s="55">
        <f t="shared" si="16"/>
        <v>1.5756960393817784E-6</v>
      </c>
      <c r="S67" s="55">
        <f t="shared" ref="S67:S96" si="21">M67/H67</f>
        <v>6.1080352088394781E-7</v>
      </c>
      <c r="T67" s="47"/>
      <c r="U67" s="47">
        <v>1000</v>
      </c>
      <c r="V67" s="55">
        <f t="shared" ca="1" si="17"/>
        <v>2.5577846174833105E-6</v>
      </c>
      <c r="W67" s="55">
        <f t="shared" ca="1" si="18"/>
        <v>3.0311991387894319E-5</v>
      </c>
      <c r="X67" s="55">
        <f t="shared" ca="1" si="19"/>
        <v>5.2510869462788947E-5</v>
      </c>
      <c r="Z67" s="55"/>
      <c r="AA67" s="55">
        <f t="shared" ca="1" si="11"/>
        <v>2.5577846174833105</v>
      </c>
      <c r="AB67" s="55">
        <f t="shared" ca="1" si="13"/>
        <v>30.31199138789432</v>
      </c>
      <c r="AC67" s="55">
        <f t="shared" ca="1" si="14"/>
        <v>52.510869462788946</v>
      </c>
      <c r="AD67" s="55"/>
      <c r="AE67" s="55"/>
      <c r="AG67" s="55"/>
      <c r="AH67" s="55"/>
    </row>
    <row r="68" spans="4:34" x14ac:dyDescent="0.45">
      <c r="F68" s="47"/>
      <c r="G68" s="49">
        <v>4</v>
      </c>
      <c r="H68" s="47">
        <v>2259319</v>
      </c>
      <c r="I68" s="47">
        <v>11.3</v>
      </c>
      <c r="J68" s="47">
        <v>7.91</v>
      </c>
      <c r="K68" s="47">
        <v>0.72</v>
      </c>
      <c r="L68" s="47">
        <v>1.34</v>
      </c>
      <c r="M68" s="45">
        <f t="shared" si="20"/>
        <v>1.5100000000000007</v>
      </c>
      <c r="N68" s="47">
        <v>4.34</v>
      </c>
      <c r="O68" s="20"/>
      <c r="P68" s="26"/>
      <c r="Q68" s="55">
        <f t="shared" si="15"/>
        <v>1.9209328120553139E-6</v>
      </c>
      <c r="R68" s="55">
        <f t="shared" si="16"/>
        <v>3.5010549639072659E-6</v>
      </c>
      <c r="S68" s="55">
        <f t="shared" si="21"/>
        <v>6.68342982996204E-7</v>
      </c>
      <c r="V68" s="55"/>
    </row>
    <row r="69" spans="4:34" x14ac:dyDescent="0.45">
      <c r="F69" s="47"/>
      <c r="G69" s="47">
        <v>5</v>
      </c>
      <c r="H69" s="47">
        <v>2259319</v>
      </c>
      <c r="I69" s="47">
        <v>14.59</v>
      </c>
      <c r="J69" s="47">
        <v>11.22</v>
      </c>
      <c r="K69" s="47">
        <v>0.69</v>
      </c>
      <c r="L69" s="47">
        <v>1.31</v>
      </c>
      <c r="M69" s="45">
        <f t="shared" si="20"/>
        <v>1.4400000000000004</v>
      </c>
      <c r="N69" s="47">
        <v>7.78</v>
      </c>
      <c r="O69" s="20"/>
      <c r="P69" s="26"/>
      <c r="Q69" s="55">
        <f t="shared" si="15"/>
        <v>3.4435155017950098E-6</v>
      </c>
      <c r="R69" s="55">
        <f t="shared" si="16"/>
        <v>4.9660981915347062E-6</v>
      </c>
      <c r="S69" s="55">
        <f t="shared" si="21"/>
        <v>6.3736019570498918E-7</v>
      </c>
    </row>
    <row r="70" spans="4:34" x14ac:dyDescent="0.45">
      <c r="F70" s="47">
        <v>7</v>
      </c>
      <c r="G70" s="47">
        <v>3</v>
      </c>
      <c r="H70" s="9">
        <v>40152293</v>
      </c>
      <c r="I70" s="9">
        <v>133.83000000000001</v>
      </c>
      <c r="J70" s="9">
        <v>75.64</v>
      </c>
      <c r="K70" s="9">
        <v>14.97</v>
      </c>
      <c r="L70" s="9">
        <v>33.200000000000003</v>
      </c>
      <c r="M70" s="45">
        <f t="shared" si="20"/>
        <v>22.63</v>
      </c>
      <c r="N70" s="9">
        <v>4.84</v>
      </c>
      <c r="O70" s="20"/>
      <c r="P70" s="26"/>
      <c r="Q70" s="55">
        <f t="shared" si="15"/>
        <v>1.2054106100490949E-7</v>
      </c>
      <c r="R70" s="55">
        <f t="shared" si="16"/>
        <v>1.8838276558701143E-6</v>
      </c>
      <c r="S70" s="55">
        <f t="shared" si="21"/>
        <v>5.6360417573163254E-7</v>
      </c>
    </row>
    <row r="71" spans="4:34" x14ac:dyDescent="0.45">
      <c r="F71" s="47"/>
      <c r="G71" s="47">
        <v>4</v>
      </c>
      <c r="M71" s="45">
        <f t="shared" si="20"/>
        <v>0</v>
      </c>
      <c r="O71" s="20"/>
      <c r="P71" s="26"/>
      <c r="Q71" s="55" t="e">
        <f t="shared" si="15"/>
        <v>#DIV/0!</v>
      </c>
      <c r="R71" s="55" t="e">
        <f t="shared" si="16"/>
        <v>#DIV/0!</v>
      </c>
      <c r="S71" s="55" t="e">
        <f t="shared" si="21"/>
        <v>#DIV/0!</v>
      </c>
    </row>
    <row r="72" spans="4:34" x14ac:dyDescent="0.45">
      <c r="F72" s="47"/>
      <c r="G72" s="47">
        <v>5</v>
      </c>
      <c r="H72" s="9">
        <v>40152349</v>
      </c>
      <c r="I72" s="9">
        <v>268.66000000000003</v>
      </c>
      <c r="J72" s="9">
        <v>210.08</v>
      </c>
      <c r="K72" s="9">
        <v>15.47</v>
      </c>
      <c r="L72" s="9">
        <v>31.59</v>
      </c>
      <c r="M72" s="45">
        <f t="shared" si="20"/>
        <v>22.300000000000011</v>
      </c>
      <c r="N72" s="9">
        <v>140.72</v>
      </c>
      <c r="O72" s="20"/>
      <c r="P72" s="26"/>
      <c r="Q72" s="55">
        <f t="shared" si="15"/>
        <v>3.5046517452814528E-6</v>
      </c>
      <c r="R72" s="55">
        <f t="shared" si="16"/>
        <v>5.2320724747635563E-6</v>
      </c>
      <c r="S72" s="55">
        <f t="shared" si="21"/>
        <v>5.5538469243729703E-7</v>
      </c>
    </row>
    <row r="73" spans="4:34" x14ac:dyDescent="0.45">
      <c r="D73" s="9">
        <v>50184</v>
      </c>
      <c r="F73" s="47">
        <v>5</v>
      </c>
      <c r="G73" s="45">
        <v>3</v>
      </c>
      <c r="H73" s="9">
        <v>2367686</v>
      </c>
      <c r="I73" s="9">
        <v>8.5</v>
      </c>
      <c r="J73" s="9">
        <v>4.17</v>
      </c>
      <c r="K73" s="9">
        <v>0.75</v>
      </c>
      <c r="L73" s="9">
        <v>1.34</v>
      </c>
      <c r="M73" s="45">
        <f t="shared" si="20"/>
        <v>1.8800000000000001</v>
      </c>
      <c r="N73" s="9">
        <v>0.2</v>
      </c>
      <c r="O73" s="20">
        <f>(N74-N73)/N74</f>
        <v>0.98039215686274517</v>
      </c>
      <c r="P73" s="26">
        <f>(J74-J73)/J74</f>
        <v>0.70446491849751947</v>
      </c>
      <c r="Q73" s="55">
        <f t="shared" si="15"/>
        <v>8.4470660383175815E-8</v>
      </c>
      <c r="R73" s="55">
        <f t="shared" si="16"/>
        <v>1.7612132689892155E-6</v>
      </c>
      <c r="S73" s="55">
        <f t="shared" si="21"/>
        <v>7.9402420760185267E-7</v>
      </c>
    </row>
    <row r="74" spans="4:34" x14ac:dyDescent="0.45">
      <c r="F74" s="47"/>
      <c r="G74" s="49">
        <v>4</v>
      </c>
      <c r="H74" s="9">
        <v>2367686</v>
      </c>
      <c r="I74" s="9">
        <v>18.559999999999999</v>
      </c>
      <c r="J74" s="9">
        <v>14.11</v>
      </c>
      <c r="K74" s="9">
        <v>0.75</v>
      </c>
      <c r="L74" s="9">
        <v>1.38</v>
      </c>
      <c r="M74" s="45">
        <f t="shared" si="20"/>
        <v>1.7800000000000011</v>
      </c>
      <c r="N74" s="9">
        <v>10.199999999999999</v>
      </c>
      <c r="O74" s="20"/>
      <c r="P74" s="26"/>
      <c r="Q74" s="55">
        <f t="shared" si="15"/>
        <v>4.308003679541966E-6</v>
      </c>
      <c r="R74" s="55">
        <f t="shared" si="16"/>
        <v>5.9594050900330535E-6</v>
      </c>
      <c r="S74" s="55">
        <f t="shared" si="21"/>
        <v>7.5178887741026521E-7</v>
      </c>
    </row>
    <row r="75" spans="4:34" x14ac:dyDescent="0.45">
      <c r="F75" s="47"/>
      <c r="G75" s="47">
        <v>5</v>
      </c>
      <c r="H75" s="47">
        <v>2367686</v>
      </c>
      <c r="I75" s="47">
        <v>26.3</v>
      </c>
      <c r="J75" s="47">
        <v>21.95</v>
      </c>
      <c r="K75" s="47">
        <v>0.73</v>
      </c>
      <c r="L75" s="47">
        <v>1.36</v>
      </c>
      <c r="M75" s="45">
        <f t="shared" si="20"/>
        <v>1.6899999999999977</v>
      </c>
      <c r="N75" s="47">
        <v>18.170000000000002</v>
      </c>
      <c r="O75" s="20"/>
      <c r="P75" s="26"/>
      <c r="Q75" s="55">
        <f t="shared" si="15"/>
        <v>7.6741594958115231E-6</v>
      </c>
      <c r="R75" s="55">
        <f t="shared" si="16"/>
        <v>9.2706549770535448E-6</v>
      </c>
      <c r="S75" s="55">
        <f t="shared" si="21"/>
        <v>7.1377708023783459E-7</v>
      </c>
    </row>
    <row r="76" spans="4:34" x14ac:dyDescent="0.45">
      <c r="F76" s="47">
        <v>7</v>
      </c>
      <c r="G76" s="47">
        <v>3</v>
      </c>
      <c r="M76" s="45">
        <f t="shared" si="20"/>
        <v>0</v>
      </c>
      <c r="O76" s="20"/>
      <c r="P76" s="26"/>
      <c r="Q76" s="55" t="e">
        <f t="shared" si="15"/>
        <v>#DIV/0!</v>
      </c>
      <c r="R76" s="55" t="e">
        <f t="shared" si="16"/>
        <v>#DIV/0!</v>
      </c>
      <c r="S76" s="55" t="e">
        <f t="shared" si="21"/>
        <v>#DIV/0!</v>
      </c>
    </row>
    <row r="77" spans="4:34" x14ac:dyDescent="0.45">
      <c r="F77" s="47"/>
      <c r="G77" s="47">
        <v>4</v>
      </c>
      <c r="M77" s="45">
        <f t="shared" si="20"/>
        <v>0</v>
      </c>
      <c r="O77" s="20"/>
      <c r="P77" s="26"/>
      <c r="Q77" s="55" t="e">
        <f t="shared" si="15"/>
        <v>#DIV/0!</v>
      </c>
      <c r="R77" s="55" t="e">
        <f t="shared" si="16"/>
        <v>#DIV/0!</v>
      </c>
      <c r="S77" s="55" t="e">
        <f t="shared" si="21"/>
        <v>#DIV/0!</v>
      </c>
    </row>
    <row r="78" spans="4:34" x14ac:dyDescent="0.45">
      <c r="F78" s="47"/>
      <c r="G78" s="47">
        <v>5</v>
      </c>
      <c r="M78" s="45">
        <f t="shared" si="20"/>
        <v>0</v>
      </c>
      <c r="O78" s="20"/>
      <c r="P78" s="26"/>
      <c r="Q78" s="55" t="e">
        <f t="shared" si="15"/>
        <v>#DIV/0!</v>
      </c>
      <c r="R78" s="55" t="e">
        <f t="shared" si="16"/>
        <v>#DIV/0!</v>
      </c>
      <c r="S78" s="55" t="e">
        <f t="shared" si="21"/>
        <v>#DIV/0!</v>
      </c>
    </row>
    <row r="79" spans="4:34" x14ac:dyDescent="0.45">
      <c r="D79" s="9">
        <v>100390</v>
      </c>
      <c r="F79" s="47">
        <v>5</v>
      </c>
      <c r="G79" s="45">
        <v>3</v>
      </c>
      <c r="H79" s="9">
        <v>2352958</v>
      </c>
      <c r="I79" s="9">
        <v>9.66</v>
      </c>
      <c r="J79" s="9">
        <v>4.3099999999999996</v>
      </c>
      <c r="K79" s="9">
        <v>0.72</v>
      </c>
      <c r="L79" s="9">
        <v>1.38</v>
      </c>
      <c r="M79" s="45">
        <f t="shared" si="20"/>
        <v>1.99</v>
      </c>
      <c r="N79" s="9">
        <v>0.22</v>
      </c>
      <c r="O79" s="20">
        <f>(N80-N79)/N80</f>
        <v>0.98724637681159422</v>
      </c>
      <c r="P79" s="26">
        <f>(J80-J79)/J80</f>
        <v>0.79850397381954186</v>
      </c>
      <c r="Q79" s="55">
        <f t="shared" si="15"/>
        <v>9.3499331479779914E-8</v>
      </c>
      <c r="R79" s="55">
        <f t="shared" si="16"/>
        <v>1.8317369030811429E-6</v>
      </c>
      <c r="S79" s="55">
        <f t="shared" si="21"/>
        <v>8.4574395293073652E-7</v>
      </c>
    </row>
    <row r="80" spans="4:34" x14ac:dyDescent="0.45">
      <c r="F80" s="47"/>
      <c r="G80" s="49">
        <v>4</v>
      </c>
      <c r="H80" s="9">
        <v>2352958</v>
      </c>
      <c r="I80" s="9">
        <v>26.86</v>
      </c>
      <c r="J80" s="9">
        <v>21.39</v>
      </c>
      <c r="K80" s="9">
        <v>0.73</v>
      </c>
      <c r="L80" s="9">
        <v>1.38</v>
      </c>
      <c r="M80" s="45">
        <f t="shared" si="20"/>
        <v>2.0300000000000011</v>
      </c>
      <c r="N80" s="9">
        <v>17.25</v>
      </c>
      <c r="O80" s="20"/>
      <c r="P80" s="26"/>
      <c r="Q80" s="55">
        <f t="shared" si="15"/>
        <v>7.3311975819372892E-6</v>
      </c>
      <c r="R80" s="55">
        <f t="shared" si="16"/>
        <v>9.0906850016022389E-6</v>
      </c>
      <c r="S80" s="55">
        <f t="shared" si="21"/>
        <v>8.6274383138160611E-7</v>
      </c>
    </row>
    <row r="81" spans="1:26" x14ac:dyDescent="0.45">
      <c r="F81" s="47"/>
      <c r="G81" s="47">
        <v>5</v>
      </c>
      <c r="H81" s="9">
        <v>2352958</v>
      </c>
      <c r="I81" s="9">
        <v>41.45</v>
      </c>
      <c r="J81" s="9">
        <v>35.979999999999997</v>
      </c>
      <c r="K81" s="9">
        <v>0.73</v>
      </c>
      <c r="L81" s="9">
        <v>1.34</v>
      </c>
      <c r="M81" s="45">
        <f t="shared" si="20"/>
        <v>1.9699999999999953</v>
      </c>
      <c r="N81" s="9">
        <v>31.94</v>
      </c>
      <c r="O81" s="20"/>
      <c r="P81" s="26"/>
      <c r="Q81" s="55">
        <f t="shared" si="15"/>
        <v>1.3574402943018958E-5</v>
      </c>
      <c r="R81" s="55">
        <f t="shared" si="16"/>
        <v>1.5291390666556732E-5</v>
      </c>
      <c r="S81" s="55">
        <f t="shared" si="21"/>
        <v>8.3724401370529998E-7</v>
      </c>
      <c r="V81" s="93" t="s">
        <v>99</v>
      </c>
      <c r="W81" s="9" t="s">
        <v>101</v>
      </c>
      <c r="X81" s="9" t="s">
        <v>100</v>
      </c>
      <c r="Y81" s="9" t="s">
        <v>102</v>
      </c>
    </row>
    <row r="82" spans="1:26" x14ac:dyDescent="0.45">
      <c r="F82" s="47">
        <v>7</v>
      </c>
      <c r="G82" s="47">
        <v>3</v>
      </c>
      <c r="H82" s="9">
        <v>46287408</v>
      </c>
      <c r="I82" s="9">
        <v>166.97</v>
      </c>
      <c r="J82" s="9">
        <v>83.94</v>
      </c>
      <c r="K82" s="9">
        <v>16.39</v>
      </c>
      <c r="L82" s="9">
        <v>32.58</v>
      </c>
      <c r="M82" s="45">
        <f t="shared" si="20"/>
        <v>30.59</v>
      </c>
      <c r="N82" s="9">
        <v>4.38</v>
      </c>
      <c r="O82" s="20"/>
      <c r="P82" s="26"/>
      <c r="Q82" s="55">
        <f t="shared" si="15"/>
        <v>9.4626167012851528E-8</v>
      </c>
      <c r="R82" s="55">
        <f t="shared" si="16"/>
        <v>1.8134521596024561E-6</v>
      </c>
      <c r="S82" s="55">
        <f t="shared" si="21"/>
        <v>6.6087087874957262E-7</v>
      </c>
      <c r="U82" s="91">
        <v>1</v>
      </c>
      <c r="V82" s="85">
        <f>J54</f>
        <v>6.11</v>
      </c>
      <c r="W82" s="85">
        <f>M54</f>
        <v>1.1100000000000003</v>
      </c>
      <c r="X82" s="85">
        <f>N54</f>
        <v>3.12</v>
      </c>
      <c r="Y82" s="85">
        <f>V82-W82-X82</f>
        <v>1.88</v>
      </c>
      <c r="Z82" s="96">
        <f>W82+X82</f>
        <v>4.2300000000000004</v>
      </c>
    </row>
    <row r="83" spans="1:26" x14ac:dyDescent="0.45">
      <c r="F83" s="47"/>
      <c r="G83" s="47">
        <v>4</v>
      </c>
      <c r="M83" s="45">
        <f t="shared" si="20"/>
        <v>0</v>
      </c>
      <c r="O83" s="20"/>
      <c r="P83" s="26"/>
      <c r="Q83" s="55" t="e">
        <f t="shared" si="15"/>
        <v>#DIV/0!</v>
      </c>
      <c r="R83" s="55" t="e">
        <f t="shared" si="16"/>
        <v>#DIV/0!</v>
      </c>
      <c r="S83" s="55" t="e">
        <f t="shared" si="21"/>
        <v>#DIV/0!</v>
      </c>
      <c r="U83" s="91">
        <v>5</v>
      </c>
      <c r="V83" s="85">
        <f>J63</f>
        <v>9.3800000000000008</v>
      </c>
      <c r="W83" s="85">
        <f>M63</f>
        <v>1.3600000000000003</v>
      </c>
      <c r="X83" s="85">
        <f>N63</f>
        <v>6.02</v>
      </c>
      <c r="Y83" s="85">
        <f t="shared" ref="Y83:Y94" si="22">V83-W83-X83</f>
        <v>2</v>
      </c>
      <c r="Z83" s="96">
        <f t="shared" ref="Z83:Z88" si="23">W83+X83</f>
        <v>7.38</v>
      </c>
    </row>
    <row r="84" spans="1:26" x14ac:dyDescent="0.45">
      <c r="F84" s="47"/>
      <c r="G84" s="47">
        <v>5</v>
      </c>
      <c r="H84" s="9">
        <v>46287408</v>
      </c>
      <c r="I84" s="9">
        <v>777.83</v>
      </c>
      <c r="J84" s="9">
        <v>692.45</v>
      </c>
      <c r="K84" s="9">
        <v>18.86</v>
      </c>
      <c r="L84" s="9">
        <v>37.36</v>
      </c>
      <c r="M84" s="45">
        <f t="shared" si="20"/>
        <v>30.57000000000005</v>
      </c>
      <c r="N84" s="9">
        <v>605.66</v>
      </c>
      <c r="O84" s="20"/>
      <c r="P84" s="26"/>
      <c r="Q84" s="55">
        <f t="shared" si="15"/>
        <v>1.3084768107991701E-5</v>
      </c>
      <c r="R84" s="55">
        <f t="shared" si="16"/>
        <v>1.4959792088595672E-5</v>
      </c>
      <c r="S84" s="55">
        <f t="shared" si="21"/>
        <v>6.6043879579517714E-7</v>
      </c>
      <c r="U84" s="91">
        <v>10</v>
      </c>
      <c r="V84" s="85">
        <f>J69</f>
        <v>11.22</v>
      </c>
      <c r="W84" s="85">
        <f>M69</f>
        <v>1.4400000000000004</v>
      </c>
      <c r="X84" s="85">
        <f>N69</f>
        <v>7.78</v>
      </c>
      <c r="Y84" s="85">
        <f t="shared" si="22"/>
        <v>2.0000000000000009</v>
      </c>
      <c r="Z84" s="96">
        <f t="shared" si="23"/>
        <v>9.2200000000000006</v>
      </c>
    </row>
    <row r="85" spans="1:26" x14ac:dyDescent="0.45">
      <c r="D85" s="9">
        <v>500828</v>
      </c>
      <c r="F85" s="47">
        <v>5</v>
      </c>
      <c r="G85" s="45">
        <v>3</v>
      </c>
      <c r="H85" s="9">
        <v>2245851</v>
      </c>
      <c r="I85" s="9">
        <v>19.28</v>
      </c>
      <c r="J85" s="9">
        <v>5.23</v>
      </c>
      <c r="K85" s="9">
        <v>0.73</v>
      </c>
      <c r="L85" s="9">
        <v>1.47</v>
      </c>
      <c r="M85" s="45">
        <f t="shared" si="20"/>
        <v>2.8000000000000003</v>
      </c>
      <c r="N85" s="9">
        <v>0.23</v>
      </c>
      <c r="O85" s="20">
        <f>(N86-N85)/N86</f>
        <v>0.99395055234087326</v>
      </c>
      <c r="P85" s="26">
        <f>(J86-J85)/J86</f>
        <v>0.87766081871345025</v>
      </c>
      <c r="Q85" s="55">
        <f t="shared" si="15"/>
        <v>1.0241106823204211E-7</v>
      </c>
      <c r="R85" s="55">
        <f t="shared" si="16"/>
        <v>2.3287386384938274E-6</v>
      </c>
      <c r="S85" s="55">
        <f t="shared" si="21"/>
        <v>1.2467434393465997E-6</v>
      </c>
      <c r="U85" s="91">
        <v>50</v>
      </c>
      <c r="V85" s="85">
        <f>J75</f>
        <v>21.95</v>
      </c>
      <c r="W85" s="85">
        <f>M75</f>
        <v>1.6899999999999977</v>
      </c>
      <c r="X85" s="85">
        <f>N75</f>
        <v>18.170000000000002</v>
      </c>
      <c r="Y85" s="85">
        <f t="shared" si="22"/>
        <v>2.09</v>
      </c>
      <c r="Z85" s="96">
        <f t="shared" si="23"/>
        <v>19.86</v>
      </c>
    </row>
    <row r="86" spans="1:26" x14ac:dyDescent="0.45">
      <c r="F86" s="47"/>
      <c r="G86" s="49">
        <v>4</v>
      </c>
      <c r="H86" s="9">
        <v>2245851</v>
      </c>
      <c r="I86" s="9">
        <v>56.16</v>
      </c>
      <c r="J86" s="9">
        <v>42.75</v>
      </c>
      <c r="K86" s="9">
        <v>0.69</v>
      </c>
      <c r="L86" s="9">
        <v>1.48</v>
      </c>
      <c r="M86" s="45">
        <f t="shared" si="20"/>
        <v>2.5600000000000023</v>
      </c>
      <c r="N86" s="9">
        <v>38.020000000000003</v>
      </c>
      <c r="O86" s="20"/>
      <c r="P86" s="26"/>
      <c r="Q86" s="55">
        <f t="shared" si="15"/>
        <v>1.6928994844270614E-5</v>
      </c>
      <c r="R86" s="55">
        <f t="shared" si="16"/>
        <v>1.9035100725738263E-5</v>
      </c>
      <c r="S86" s="55">
        <f t="shared" si="21"/>
        <v>1.1398797159740348E-6</v>
      </c>
      <c r="U86" s="91">
        <v>100</v>
      </c>
      <c r="V86" s="85">
        <f>J81</f>
        <v>35.979999999999997</v>
      </c>
      <c r="W86" s="85">
        <f>M81</f>
        <v>1.9699999999999953</v>
      </c>
      <c r="X86" s="85">
        <f>N81</f>
        <v>31.94</v>
      </c>
      <c r="Y86" s="85">
        <f t="shared" si="22"/>
        <v>2.0700000000000038</v>
      </c>
      <c r="Z86" s="96">
        <f t="shared" si="23"/>
        <v>33.909999999999997</v>
      </c>
    </row>
    <row r="87" spans="1:26" x14ac:dyDescent="0.45">
      <c r="F87" s="47"/>
      <c r="G87" s="47">
        <v>5</v>
      </c>
      <c r="H87" s="47">
        <v>2245851</v>
      </c>
      <c r="I87" s="47">
        <v>86.06</v>
      </c>
      <c r="J87" s="47">
        <v>72.34</v>
      </c>
      <c r="K87" s="47">
        <v>0.67</v>
      </c>
      <c r="L87" s="47">
        <v>1.31</v>
      </c>
      <c r="M87" s="45">
        <f t="shared" si="20"/>
        <v>2.6400000000000006</v>
      </c>
      <c r="N87" s="47">
        <v>67.72</v>
      </c>
      <c r="O87" s="20"/>
      <c r="P87" s="26"/>
      <c r="Q87" s="55">
        <f t="shared" si="15"/>
        <v>3.0153380611625615E-5</v>
      </c>
      <c r="R87" s="55">
        <f t="shared" si="16"/>
        <v>3.2210507286547504E-5</v>
      </c>
      <c r="S87" s="55">
        <f t="shared" si="21"/>
        <v>1.1755009570982228E-6</v>
      </c>
      <c r="U87" s="91">
        <v>500</v>
      </c>
      <c r="V87" s="85">
        <f>J87</f>
        <v>72.34</v>
      </c>
      <c r="W87" s="85">
        <f>M87</f>
        <v>2.6400000000000006</v>
      </c>
      <c r="X87" s="85">
        <f>N87</f>
        <v>67.72</v>
      </c>
      <c r="Y87" s="85">
        <f t="shared" si="22"/>
        <v>1.980000000000004</v>
      </c>
      <c r="Z87" s="96">
        <f t="shared" si="23"/>
        <v>70.36</v>
      </c>
    </row>
    <row r="88" spans="1:26" x14ac:dyDescent="0.45">
      <c r="F88" s="47">
        <v>7</v>
      </c>
      <c r="G88" s="47">
        <v>3</v>
      </c>
      <c r="M88" s="45">
        <f t="shared" si="20"/>
        <v>0</v>
      </c>
      <c r="O88" s="20"/>
      <c r="P88" s="26"/>
      <c r="Q88" s="55" t="e">
        <f t="shared" si="15"/>
        <v>#DIV/0!</v>
      </c>
      <c r="R88" s="55" t="e">
        <f t="shared" si="16"/>
        <v>#DIV/0!</v>
      </c>
      <c r="S88" s="55" t="e">
        <f t="shared" si="21"/>
        <v>#DIV/0!</v>
      </c>
      <c r="U88" s="91">
        <v>1000</v>
      </c>
      <c r="V88" s="85">
        <f>J93</f>
        <v>117.02</v>
      </c>
      <c r="W88" s="85">
        <f>M93</f>
        <v>3.4899999999999949</v>
      </c>
      <c r="X88" s="85">
        <f>N93</f>
        <v>111.56</v>
      </c>
      <c r="Y88" s="85">
        <f t="shared" si="22"/>
        <v>1.9699999999999989</v>
      </c>
      <c r="Z88" s="96">
        <f t="shared" si="23"/>
        <v>115.05</v>
      </c>
    </row>
    <row r="89" spans="1:26" x14ac:dyDescent="0.45">
      <c r="F89" s="47"/>
      <c r="G89" s="47">
        <v>4</v>
      </c>
      <c r="M89" s="45">
        <f t="shared" si="20"/>
        <v>0</v>
      </c>
      <c r="O89" s="20"/>
      <c r="P89" s="26"/>
      <c r="Q89" s="55" t="e">
        <f t="shared" si="15"/>
        <v>#DIV/0!</v>
      </c>
      <c r="R89" s="55" t="e">
        <f t="shared" si="16"/>
        <v>#DIV/0!</v>
      </c>
      <c r="S89" s="55" t="e">
        <f t="shared" si="21"/>
        <v>#DIV/0!</v>
      </c>
      <c r="Y89" s="85"/>
    </row>
    <row r="90" spans="1:26" x14ac:dyDescent="0.45">
      <c r="F90" s="47"/>
      <c r="G90" s="47">
        <v>5</v>
      </c>
      <c r="M90" s="45">
        <f t="shared" si="20"/>
        <v>0</v>
      </c>
      <c r="O90" s="20"/>
      <c r="P90" s="26"/>
      <c r="Q90" s="55" t="e">
        <f t="shared" si="15"/>
        <v>#DIV/0!</v>
      </c>
      <c r="R90" s="55" t="e">
        <f t="shared" si="16"/>
        <v>#DIV/0!</v>
      </c>
      <c r="S90" s="55" t="e">
        <f t="shared" si="21"/>
        <v>#DIV/0!</v>
      </c>
      <c r="U90" s="85">
        <v>0.142316</v>
      </c>
      <c r="V90" s="92">
        <f>J48</f>
        <v>0.36</v>
      </c>
      <c r="W90" s="92">
        <f>M48</f>
        <v>8.9999999999999969E-2</v>
      </c>
      <c r="X90" s="92">
        <f>N48</f>
        <v>0.19</v>
      </c>
      <c r="Y90" s="85">
        <f t="shared" si="22"/>
        <v>8.0000000000000016E-2</v>
      </c>
      <c r="Z90" s="9">
        <f>W90+X90</f>
        <v>0.27999999999999997</v>
      </c>
    </row>
    <row r="91" spans="1:26" x14ac:dyDescent="0.45">
      <c r="D91" s="9">
        <v>1019642</v>
      </c>
      <c r="F91" s="47">
        <v>5</v>
      </c>
      <c r="G91" s="45">
        <v>3</v>
      </c>
      <c r="H91" s="9">
        <v>2228491</v>
      </c>
      <c r="I91" s="9">
        <v>33.020000000000003</v>
      </c>
      <c r="J91" s="9">
        <v>5.7</v>
      </c>
      <c r="K91" s="9">
        <v>0.72</v>
      </c>
      <c r="L91" s="9">
        <v>1.33</v>
      </c>
      <c r="M91" s="45">
        <f t="shared" si="20"/>
        <v>3.45</v>
      </c>
      <c r="N91" s="9">
        <v>0.2</v>
      </c>
      <c r="O91" s="20">
        <f>(N92-N91)/N92</f>
        <v>0.99680306905370841</v>
      </c>
      <c r="P91" s="26">
        <f>(J92-J91)/J92</f>
        <v>0.91561806069578089</v>
      </c>
      <c r="Q91" s="55">
        <f t="shared" si="15"/>
        <v>8.9746828683624927E-8</v>
      </c>
      <c r="R91" s="55">
        <f t="shared" si="16"/>
        <v>2.5577846174833105E-6</v>
      </c>
      <c r="S91" s="55">
        <f t="shared" si="21"/>
        <v>1.5481327947925302E-6</v>
      </c>
      <c r="U91" s="85">
        <v>0.54747599999999996</v>
      </c>
      <c r="V91" s="92">
        <f>J51</f>
        <v>1.44</v>
      </c>
      <c r="W91" s="92">
        <f>M51</f>
        <v>0.26</v>
      </c>
      <c r="X91" s="92">
        <f>N51</f>
        <v>0.8</v>
      </c>
      <c r="Y91" s="85">
        <f t="shared" si="22"/>
        <v>0.37999999999999989</v>
      </c>
      <c r="Z91" s="92">
        <f t="shared" ref="Z91:Z94" si="24">W91+X91</f>
        <v>1.06</v>
      </c>
    </row>
    <row r="92" spans="1:26" x14ac:dyDescent="0.45">
      <c r="F92" s="47"/>
      <c r="G92" s="49">
        <v>4</v>
      </c>
      <c r="H92" s="9">
        <v>2228491</v>
      </c>
      <c r="I92" s="9">
        <v>92.75</v>
      </c>
      <c r="J92" s="9">
        <v>67.55</v>
      </c>
      <c r="K92" s="9">
        <v>0.66</v>
      </c>
      <c r="L92" s="9">
        <v>1.25</v>
      </c>
      <c r="M92" s="45">
        <f t="shared" si="20"/>
        <v>3.0799999999999983</v>
      </c>
      <c r="N92" s="9">
        <v>62.56</v>
      </c>
      <c r="O92" s="20"/>
      <c r="P92" s="26"/>
      <c r="Q92" s="55">
        <f t="shared" si="15"/>
        <v>2.807280801223788E-5</v>
      </c>
      <c r="R92" s="55">
        <f t="shared" si="16"/>
        <v>3.0311991387894319E-5</v>
      </c>
      <c r="S92" s="55">
        <f t="shared" si="21"/>
        <v>1.3821011617278232E-6</v>
      </c>
      <c r="U92" s="85">
        <v>2.1744159999999999</v>
      </c>
      <c r="V92" s="92">
        <f>J54</f>
        <v>6.11</v>
      </c>
      <c r="W92" s="92">
        <f>M54</f>
        <v>1.1100000000000003</v>
      </c>
      <c r="X92" s="92">
        <f>N54</f>
        <v>3.12</v>
      </c>
      <c r="Y92" s="85">
        <f t="shared" si="22"/>
        <v>1.88</v>
      </c>
      <c r="Z92" s="92">
        <f t="shared" si="24"/>
        <v>4.2300000000000004</v>
      </c>
    </row>
    <row r="93" spans="1:26" x14ac:dyDescent="0.45">
      <c r="F93" s="47"/>
      <c r="G93" s="47">
        <v>5</v>
      </c>
      <c r="H93" s="9">
        <v>2228491</v>
      </c>
      <c r="I93" s="9">
        <v>142.34</v>
      </c>
      <c r="J93" s="9">
        <v>117.02</v>
      </c>
      <c r="K93" s="9">
        <v>0.67</v>
      </c>
      <c r="L93" s="9">
        <v>1.3</v>
      </c>
      <c r="M93" s="45">
        <f t="shared" si="20"/>
        <v>3.4899999999999949</v>
      </c>
      <c r="N93" s="9">
        <v>111.56</v>
      </c>
      <c r="O93" s="20"/>
      <c r="P93" s="26"/>
      <c r="Q93" s="55">
        <f t="shared" si="15"/>
        <v>5.0060781039725989E-5</v>
      </c>
      <c r="R93" s="55">
        <f t="shared" si="16"/>
        <v>5.2510869462788947E-5</v>
      </c>
      <c r="S93" s="55">
        <f t="shared" si="21"/>
        <v>1.5660821605292527E-6</v>
      </c>
      <c r="U93" s="85">
        <v>8.6901840000000004</v>
      </c>
      <c r="V93" s="92">
        <f>J57</f>
        <v>25.45</v>
      </c>
      <c r="W93" s="92">
        <f>M57</f>
        <v>4.0299999999999976</v>
      </c>
      <c r="X93" s="92">
        <f>N57</f>
        <v>12.48</v>
      </c>
      <c r="Y93" s="85">
        <f t="shared" si="22"/>
        <v>8.9400000000000013</v>
      </c>
      <c r="Z93" s="92">
        <f t="shared" si="24"/>
        <v>16.509999999999998</v>
      </c>
    </row>
    <row r="94" spans="1:26" x14ac:dyDescent="0.45">
      <c r="F94" s="47">
        <v>7</v>
      </c>
      <c r="G94" s="47">
        <v>3</v>
      </c>
      <c r="H94" s="9">
        <v>38290573</v>
      </c>
      <c r="I94" s="9">
        <v>158.83000000000001</v>
      </c>
      <c r="J94" s="9">
        <v>77.02</v>
      </c>
      <c r="K94" s="9">
        <v>13.17</v>
      </c>
      <c r="L94" s="9">
        <v>28.28</v>
      </c>
      <c r="M94" s="45">
        <f t="shared" si="20"/>
        <v>31.709999999999994</v>
      </c>
      <c r="N94" s="9">
        <v>3.86</v>
      </c>
      <c r="O94" s="20"/>
      <c r="P94" s="26"/>
      <c r="Q94" s="55">
        <f t="shared" si="15"/>
        <v>1.0080810229713721E-7</v>
      </c>
      <c r="R94" s="55">
        <f t="shared" si="16"/>
        <v>2.0114611499807012E-6</v>
      </c>
      <c r="S94" s="55">
        <f t="shared" si="21"/>
        <v>8.2814117197984985E-7</v>
      </c>
      <c r="U94" s="85">
        <v>35.013452999999998</v>
      </c>
      <c r="V94" s="92">
        <f>J60</f>
        <v>106.73</v>
      </c>
      <c r="W94" s="92">
        <f>M60</f>
        <v>15.900000000000006</v>
      </c>
      <c r="X94" s="92">
        <f>N60</f>
        <v>51.78</v>
      </c>
      <c r="Y94" s="85">
        <f t="shared" si="22"/>
        <v>39.049999999999997</v>
      </c>
      <c r="Z94" s="92">
        <f t="shared" si="24"/>
        <v>67.680000000000007</v>
      </c>
    </row>
    <row r="95" spans="1:26" x14ac:dyDescent="0.45">
      <c r="F95" s="47"/>
      <c r="G95" s="47">
        <v>4</v>
      </c>
      <c r="M95" s="45">
        <f t="shared" si="20"/>
        <v>0</v>
      </c>
      <c r="O95" s="20"/>
      <c r="P95" s="26"/>
      <c r="Q95" s="55" t="e">
        <f t="shared" si="15"/>
        <v>#DIV/0!</v>
      </c>
      <c r="R95" s="55" t="e">
        <f t="shared" si="16"/>
        <v>#DIV/0!</v>
      </c>
      <c r="S95" s="55" t="e">
        <f t="shared" si="21"/>
        <v>#DIV/0!</v>
      </c>
    </row>
    <row r="96" spans="1:26" ht="13" thickBot="1" x14ac:dyDescent="0.5">
      <c r="A96" s="105"/>
      <c r="B96" s="105"/>
      <c r="C96" s="105"/>
      <c r="D96" s="105"/>
      <c r="E96" s="105"/>
      <c r="F96" s="105"/>
      <c r="G96" s="105">
        <v>5</v>
      </c>
      <c r="H96" s="105">
        <v>38290573</v>
      </c>
      <c r="I96" s="105">
        <v>2058.4699999999998</v>
      </c>
      <c r="J96" s="105">
        <v>1977.77</v>
      </c>
      <c r="K96" s="105">
        <v>14.52</v>
      </c>
      <c r="L96" s="105">
        <v>34.299999999999997</v>
      </c>
      <c r="M96" s="103">
        <f t="shared" si="20"/>
        <v>32.900000000000091</v>
      </c>
      <c r="N96" s="105">
        <v>1896.05</v>
      </c>
      <c r="O96" s="20"/>
      <c r="P96" s="26"/>
      <c r="Q96" s="55">
        <f t="shared" si="15"/>
        <v>4.951740993795E-5</v>
      </c>
      <c r="R96" s="55">
        <f t="shared" si="16"/>
        <v>5.1651616704717374E-5</v>
      </c>
      <c r="S96" s="55">
        <f t="shared" si="21"/>
        <v>8.5921931750668997E-7</v>
      </c>
    </row>
    <row r="97" spans="1:18" x14ac:dyDescent="0.45">
      <c r="A97" s="28">
        <v>44405</v>
      </c>
      <c r="B97" s="118" t="s">
        <v>106</v>
      </c>
      <c r="C97" s="104"/>
      <c r="D97" s="104">
        <v>10278</v>
      </c>
      <c r="E97" s="104"/>
      <c r="F97" s="104">
        <v>5</v>
      </c>
      <c r="G97" s="104">
        <v>3</v>
      </c>
      <c r="H97" s="104">
        <v>2259319</v>
      </c>
      <c r="I97" s="104">
        <v>6.59</v>
      </c>
      <c r="J97" s="104">
        <v>3</v>
      </c>
      <c r="K97" s="104">
        <v>0.06</v>
      </c>
      <c r="L97" s="104">
        <v>1.38</v>
      </c>
      <c r="M97" s="104">
        <v>1.2</v>
      </c>
      <c r="N97" s="104">
        <v>0.36</v>
      </c>
      <c r="Q97" s="55">
        <v>1.5934E-7</v>
      </c>
      <c r="R97" s="55">
        <v>1.32783E-6</v>
      </c>
    </row>
    <row r="98" spans="1:18" x14ac:dyDescent="0.45">
      <c r="A98" s="104"/>
      <c r="B98" s="119"/>
      <c r="C98" s="104"/>
      <c r="D98" s="104"/>
      <c r="E98" s="104"/>
      <c r="F98" s="104">
        <v>7</v>
      </c>
      <c r="G98" s="104">
        <v>3</v>
      </c>
      <c r="H98" s="104">
        <v>40152293</v>
      </c>
      <c r="I98" s="104">
        <v>110.92</v>
      </c>
      <c r="J98" s="104">
        <v>50.84</v>
      </c>
      <c r="K98" s="104">
        <v>1.0900000000000001</v>
      </c>
      <c r="L98" s="104">
        <v>25.22</v>
      </c>
      <c r="M98" s="104">
        <v>17.38</v>
      </c>
      <c r="N98" s="104">
        <v>7.16</v>
      </c>
      <c r="Q98" s="55">
        <v>1.78321E-7</v>
      </c>
      <c r="R98" s="55">
        <v>1.2661799999999999E-6</v>
      </c>
    </row>
    <row r="113" spans="19:19" x14ac:dyDescent="0.45">
      <c r="S113" s="104"/>
    </row>
    <row r="114" spans="19:19" x14ac:dyDescent="0.45">
      <c r="S114" s="104"/>
    </row>
  </sheetData>
  <mergeCells count="8">
    <mergeCell ref="B97:B98"/>
    <mergeCell ref="C2:C12"/>
    <mergeCell ref="B46:B55"/>
    <mergeCell ref="B21:B26"/>
    <mergeCell ref="B13:B20"/>
    <mergeCell ref="C21:C26"/>
    <mergeCell ref="C19:C20"/>
    <mergeCell ref="C13:C16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1C880-7069-4EF2-8459-C4B63D8479E9}">
  <dimension ref="B1:N32"/>
  <sheetViews>
    <sheetView topLeftCell="B1" workbookViewId="0">
      <selection activeCell="C4" sqref="C4"/>
    </sheetView>
  </sheetViews>
  <sheetFormatPr defaultRowHeight="14" x14ac:dyDescent="0.45"/>
  <cols>
    <col min="5" max="5" width="10" bestFit="1" customWidth="1"/>
    <col min="8" max="8" width="9.234375" customWidth="1"/>
    <col min="11" max="11" width="8.9375" customWidth="1"/>
  </cols>
  <sheetData>
    <row r="1" spans="2:13" x14ac:dyDescent="0.45">
      <c r="B1" t="s">
        <v>75</v>
      </c>
      <c r="C1">
        <v>2013.12</v>
      </c>
    </row>
    <row r="2" spans="2:13" x14ac:dyDescent="0.45">
      <c r="B2" t="s">
        <v>76</v>
      </c>
      <c r="C2" t="s">
        <v>73</v>
      </c>
    </row>
    <row r="3" spans="2:13" x14ac:dyDescent="0.45">
      <c r="B3" t="s">
        <v>77</v>
      </c>
      <c r="C3" t="s">
        <v>78</v>
      </c>
    </row>
    <row r="4" spans="2:13" x14ac:dyDescent="0.45">
      <c r="C4" t="s">
        <v>79</v>
      </c>
    </row>
    <row r="5" spans="2:13" x14ac:dyDescent="0.45">
      <c r="C5" t="s">
        <v>70</v>
      </c>
      <c r="D5" t="s">
        <v>71</v>
      </c>
      <c r="E5" t="s">
        <v>72</v>
      </c>
      <c r="M5" t="s">
        <v>74</v>
      </c>
    </row>
    <row r="6" spans="2:13" x14ac:dyDescent="0.45">
      <c r="C6">
        <v>640</v>
      </c>
      <c r="D6">
        <v>189632</v>
      </c>
      <c r="E6">
        <v>25.802</v>
      </c>
      <c r="M6" s="79">
        <f>E6/D6</f>
        <v>1.3606353358083025E-4</v>
      </c>
    </row>
    <row r="7" spans="2:13" x14ac:dyDescent="0.45">
      <c r="C7">
        <v>1064</v>
      </c>
      <c r="D7">
        <v>183115</v>
      </c>
      <c r="E7">
        <v>25.068999999999999</v>
      </c>
      <c r="M7" s="79">
        <f>E7/D7</f>
        <v>1.3690303907380608E-4</v>
      </c>
    </row>
    <row r="8" spans="2:13" x14ac:dyDescent="0.45">
      <c r="C8">
        <v>2416</v>
      </c>
      <c r="D8">
        <v>177663</v>
      </c>
      <c r="E8">
        <v>25.178000000000001</v>
      </c>
      <c r="M8" s="79">
        <f>E8/D8</f>
        <v>1.4171774652009704E-4</v>
      </c>
    </row>
    <row r="9" spans="2:13" x14ac:dyDescent="0.45">
      <c r="C9">
        <v>9096</v>
      </c>
      <c r="D9">
        <v>169930</v>
      </c>
      <c r="E9">
        <v>24.943999999999999</v>
      </c>
      <c r="M9" s="79">
        <f>E9/D9</f>
        <v>1.4678985464603071E-4</v>
      </c>
    </row>
    <row r="10" spans="2:13" x14ac:dyDescent="0.45">
      <c r="M10" s="79"/>
    </row>
    <row r="11" spans="2:13" x14ac:dyDescent="0.45">
      <c r="M11" s="79"/>
    </row>
    <row r="12" spans="2:13" x14ac:dyDescent="0.45">
      <c r="B12" t="s">
        <v>81</v>
      </c>
      <c r="C12" t="s">
        <v>80</v>
      </c>
      <c r="M12" s="79"/>
    </row>
    <row r="13" spans="2:13" x14ac:dyDescent="0.45">
      <c r="B13" t="s">
        <v>76</v>
      </c>
      <c r="C13" t="s">
        <v>82</v>
      </c>
      <c r="M13" s="79"/>
    </row>
    <row r="14" spans="2:13" x14ac:dyDescent="0.45">
      <c r="B14" t="s">
        <v>77</v>
      </c>
      <c r="C14" t="s">
        <v>83</v>
      </c>
      <c r="M14" s="79"/>
    </row>
    <row r="15" spans="2:13" x14ac:dyDescent="0.45">
      <c r="C15" t="s">
        <v>59</v>
      </c>
      <c r="D15" t="s">
        <v>84</v>
      </c>
      <c r="E15" t="s">
        <v>85</v>
      </c>
      <c r="M15" s="79"/>
    </row>
    <row r="16" spans="2:13" x14ac:dyDescent="0.45">
      <c r="C16">
        <v>113772</v>
      </c>
      <c r="D16">
        <v>1640630</v>
      </c>
      <c r="E16">
        <v>150.04</v>
      </c>
      <c r="M16" s="79">
        <f>E16/D16</f>
        <v>9.1452673668042145E-5</v>
      </c>
    </row>
    <row r="17" spans="2:14" x14ac:dyDescent="0.45">
      <c r="C17">
        <v>214268</v>
      </c>
      <c r="D17">
        <v>1183605</v>
      </c>
      <c r="E17">
        <v>111.77</v>
      </c>
      <c r="M17" s="79">
        <f>E17/D17</f>
        <v>9.4431841703946834E-5</v>
      </c>
    </row>
    <row r="18" spans="2:14" x14ac:dyDescent="0.45">
      <c r="C18">
        <v>415342</v>
      </c>
      <c r="D18">
        <v>1172198</v>
      </c>
      <c r="E18">
        <v>110.45</v>
      </c>
      <c r="M18" s="79">
        <f>E18/D18</f>
        <v>9.422469582783796E-5</v>
      </c>
    </row>
    <row r="19" spans="2:14" x14ac:dyDescent="0.45">
      <c r="C19">
        <v>1331512</v>
      </c>
      <c r="D19">
        <v>2851953</v>
      </c>
      <c r="E19">
        <v>278.25</v>
      </c>
      <c r="M19" s="79">
        <f>E19/D19</f>
        <v>9.7564721438256523E-5</v>
      </c>
    </row>
    <row r="20" spans="2:14" x14ac:dyDescent="0.45">
      <c r="M20" s="79"/>
    </row>
    <row r="21" spans="2:14" x14ac:dyDescent="0.45">
      <c r="M21" s="79"/>
    </row>
    <row r="22" spans="2:14" x14ac:dyDescent="0.45">
      <c r="B22" t="s">
        <v>75</v>
      </c>
      <c r="C22">
        <v>2008</v>
      </c>
      <c r="M22" s="79"/>
    </row>
    <row r="23" spans="2:14" x14ac:dyDescent="0.45">
      <c r="B23" t="s">
        <v>76</v>
      </c>
      <c r="C23" t="s">
        <v>86</v>
      </c>
      <c r="M23" s="79"/>
    </row>
    <row r="24" spans="2:14" x14ac:dyDescent="0.45">
      <c r="B24" t="s">
        <v>77</v>
      </c>
      <c r="M24" s="79"/>
    </row>
    <row r="25" spans="2:14" x14ac:dyDescent="0.45">
      <c r="C25" t="s">
        <v>59</v>
      </c>
      <c r="D25" t="s">
        <v>87</v>
      </c>
      <c r="E25" t="s">
        <v>88</v>
      </c>
      <c r="F25" t="s">
        <v>85</v>
      </c>
      <c r="G25" t="s">
        <v>90</v>
      </c>
      <c r="H25" t="s">
        <v>91</v>
      </c>
      <c r="I25" t="s">
        <v>89</v>
      </c>
      <c r="J25" t="s">
        <v>94</v>
      </c>
      <c r="M25" s="79"/>
    </row>
    <row r="26" spans="2:14" x14ac:dyDescent="0.45">
      <c r="C26">
        <v>1189900</v>
      </c>
      <c r="D26">
        <v>6600</v>
      </c>
      <c r="E26">
        <v>76000000</v>
      </c>
      <c r="F26">
        <f>228.34*6.14</f>
        <v>1402.0075999999999</v>
      </c>
      <c r="G26" t="s">
        <v>92</v>
      </c>
      <c r="H26" t="s">
        <v>93</v>
      </c>
      <c r="I26">
        <v>331000</v>
      </c>
      <c r="J26">
        <f>8.56*6.14</f>
        <v>52.558399999999999</v>
      </c>
      <c r="L26">
        <f t="shared" ref="L26:L28" si="0">1/I26</f>
        <v>3.0211480362537765E-6</v>
      </c>
      <c r="M26" s="79">
        <f>J26/D26</f>
        <v>7.9633939393939385E-3</v>
      </c>
    </row>
    <row r="27" spans="2:14" x14ac:dyDescent="0.45">
      <c r="C27">
        <v>553566</v>
      </c>
      <c r="D27">
        <v>34791</v>
      </c>
      <c r="E27">
        <v>278000000</v>
      </c>
      <c r="F27">
        <f>354.09*6.5</f>
        <v>2301.585</v>
      </c>
      <c r="G27">
        <v>213</v>
      </c>
      <c r="H27">
        <f>3.88*1024</f>
        <v>3973.12</v>
      </c>
      <c r="I27">
        <v>777000</v>
      </c>
      <c r="J27">
        <f>3.76*6.5</f>
        <v>24.439999999999998</v>
      </c>
      <c r="L27">
        <f t="shared" si="0"/>
        <v>1.2870012870012871E-6</v>
      </c>
      <c r="M27" s="79">
        <f t="shared" ref="M27:M28" si="1">J27/D27</f>
        <v>7.0248052657296417E-4</v>
      </c>
    </row>
    <row r="28" spans="2:14" x14ac:dyDescent="0.45">
      <c r="C28">
        <v>744404</v>
      </c>
      <c r="D28">
        <v>37227</v>
      </c>
      <c r="E28">
        <v>298000000</v>
      </c>
      <c r="F28">
        <f>777.52*7.02</f>
        <v>5458.1903999999995</v>
      </c>
      <c r="G28">
        <v>247</v>
      </c>
      <c r="H28">
        <f>4.08*1024</f>
        <v>4177.92</v>
      </c>
      <c r="I28">
        <v>382000</v>
      </c>
      <c r="J28">
        <f>6.21*7.02</f>
        <v>43.594199999999994</v>
      </c>
      <c r="L28">
        <f t="shared" si="0"/>
        <v>2.6178010471204187E-6</v>
      </c>
      <c r="M28" s="79">
        <f t="shared" si="1"/>
        <v>1.1710371504553144E-3</v>
      </c>
      <c r="N28" s="79">
        <f>F28/E28</f>
        <v>1.8316075167785234E-5</v>
      </c>
    </row>
    <row r="29" spans="2:14" x14ac:dyDescent="0.45">
      <c r="M29" s="79"/>
    </row>
    <row r="30" spans="2:14" x14ac:dyDescent="0.45">
      <c r="M30" s="79"/>
    </row>
    <row r="31" spans="2:14" x14ac:dyDescent="0.45">
      <c r="M31" s="79"/>
    </row>
    <row r="32" spans="2:14" x14ac:dyDescent="0.45">
      <c r="M32" s="79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2886B-63D6-42EE-81E5-419CB8A2A8E9}">
  <dimension ref="A1:M12"/>
  <sheetViews>
    <sheetView workbookViewId="0">
      <selection activeCell="T17" sqref="J8:T17"/>
    </sheetView>
  </sheetViews>
  <sheetFormatPr defaultRowHeight="14" x14ac:dyDescent="0.45"/>
  <cols>
    <col min="7" max="7" width="8.05859375" bestFit="1" customWidth="1"/>
    <col min="8" max="9" width="10.8203125" bestFit="1" customWidth="1"/>
    <col min="13" max="13" width="9.05859375" bestFit="1" customWidth="1"/>
  </cols>
  <sheetData>
    <row r="1" spans="1:13" ht="25" thickBot="1" x14ac:dyDescent="0.5">
      <c r="A1" s="42"/>
      <c r="B1" s="42"/>
      <c r="C1" s="43" t="s">
        <v>27</v>
      </c>
      <c r="D1" s="43" t="s">
        <v>41</v>
      </c>
      <c r="E1" s="44" t="s">
        <v>48</v>
      </c>
      <c r="F1" s="43" t="s">
        <v>29</v>
      </c>
      <c r="G1" s="43" t="s">
        <v>28</v>
      </c>
      <c r="H1" s="97" t="s">
        <v>104</v>
      </c>
      <c r="I1" s="97" t="s">
        <v>103</v>
      </c>
    </row>
    <row r="2" spans="1:13" x14ac:dyDescent="0.45">
      <c r="A2" s="95" t="s">
        <v>105</v>
      </c>
      <c r="B2" s="19"/>
      <c r="C2" s="117" t="s">
        <v>61</v>
      </c>
      <c r="D2" s="95">
        <v>10278</v>
      </c>
      <c r="E2" s="95" t="s">
        <v>39</v>
      </c>
      <c r="F2" s="95">
        <v>0</v>
      </c>
      <c r="G2" s="95">
        <v>8000</v>
      </c>
      <c r="H2" s="106">
        <v>1984000</v>
      </c>
      <c r="I2" s="106">
        <v>1024000</v>
      </c>
      <c r="J2" s="102">
        <f>(H2-I2)/H2</f>
        <v>0.4838709677419355</v>
      </c>
    </row>
    <row r="3" spans="1:13" x14ac:dyDescent="0.45">
      <c r="B3" s="95"/>
      <c r="C3" s="110"/>
      <c r="F3">
        <v>3</v>
      </c>
      <c r="G3">
        <v>144374</v>
      </c>
      <c r="H3" s="106">
        <v>55398120</v>
      </c>
      <c r="I3" s="106">
        <v>31788734</v>
      </c>
      <c r="J3" s="102">
        <f>(H3-I3)/H3</f>
        <v>0.42617666447886682</v>
      </c>
      <c r="L3" s="100"/>
      <c r="M3" s="100"/>
    </row>
    <row r="4" spans="1:13" x14ac:dyDescent="0.45">
      <c r="B4" s="95"/>
      <c r="C4" s="110"/>
      <c r="H4" s="106"/>
      <c r="I4" s="106"/>
      <c r="J4" s="102"/>
      <c r="M4" s="100"/>
    </row>
    <row r="5" spans="1:13" x14ac:dyDescent="0.45">
      <c r="A5" s="95"/>
      <c r="B5" s="95"/>
      <c r="C5" s="110"/>
      <c r="D5" s="95"/>
      <c r="E5" s="95"/>
      <c r="F5" s="95"/>
      <c r="G5" s="95"/>
      <c r="H5" s="98"/>
      <c r="I5" s="98"/>
      <c r="K5" s="101"/>
    </row>
    <row r="6" spans="1:13" x14ac:dyDescent="0.45">
      <c r="A6" s="95"/>
      <c r="B6" s="95"/>
      <c r="C6" s="110"/>
      <c r="D6" s="95"/>
      <c r="E6" s="95"/>
      <c r="F6" s="10"/>
      <c r="G6" s="95"/>
      <c r="H6" s="98"/>
      <c r="I6" s="98"/>
      <c r="L6" s="100"/>
    </row>
    <row r="7" spans="1:13" x14ac:dyDescent="0.45">
      <c r="A7" s="95"/>
      <c r="B7" s="95"/>
      <c r="C7" s="110"/>
      <c r="D7" s="95"/>
      <c r="E7" s="95"/>
      <c r="F7" s="95"/>
      <c r="G7" s="95"/>
      <c r="H7" s="98"/>
      <c r="I7" s="98"/>
    </row>
    <row r="8" spans="1:13" x14ac:dyDescent="0.45">
      <c r="A8" s="95"/>
      <c r="B8" s="95"/>
      <c r="C8" s="110"/>
      <c r="D8" s="95"/>
      <c r="E8" s="95"/>
      <c r="F8" s="10"/>
      <c r="G8" s="95"/>
      <c r="H8" s="98"/>
      <c r="I8" s="98"/>
    </row>
    <row r="9" spans="1:13" x14ac:dyDescent="0.45">
      <c r="A9" s="95"/>
      <c r="B9" s="95"/>
      <c r="C9" s="110"/>
      <c r="D9" s="95"/>
      <c r="E9" s="95"/>
      <c r="F9" s="95"/>
      <c r="G9" s="95"/>
      <c r="H9" s="98"/>
      <c r="I9" s="98"/>
    </row>
    <row r="10" spans="1:13" x14ac:dyDescent="0.45">
      <c r="A10" s="95"/>
      <c r="B10" s="95"/>
      <c r="C10" s="110"/>
      <c r="D10" s="95"/>
      <c r="E10" s="95"/>
      <c r="F10" s="10"/>
      <c r="I10" s="95"/>
      <c r="J10" s="98"/>
      <c r="K10" s="98"/>
    </row>
    <row r="11" spans="1:13" x14ac:dyDescent="0.45">
      <c r="A11" s="95"/>
      <c r="B11" s="95"/>
      <c r="C11" s="110"/>
      <c r="D11" s="95"/>
      <c r="E11" s="95"/>
      <c r="F11" s="95"/>
      <c r="G11" s="95"/>
      <c r="H11" s="98"/>
      <c r="I11" s="98"/>
    </row>
    <row r="12" spans="1:13" ht="14.35" thickBot="1" x14ac:dyDescent="0.5">
      <c r="A12" s="94"/>
      <c r="B12" s="94"/>
      <c r="C12" s="111"/>
      <c r="D12" s="94"/>
      <c r="E12" s="94"/>
      <c r="F12" s="14"/>
      <c r="G12" s="94"/>
      <c r="H12" s="99"/>
      <c r="I12" s="99"/>
    </row>
  </sheetData>
  <mergeCells count="1">
    <mergeCell ref="C2:C1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程序优化</vt:lpstr>
      <vt:lpstr>小论文</vt:lpstr>
      <vt:lpstr>文献效率</vt:lpstr>
      <vt:lpstr>内存分析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Xueliang Li</dc:creator>
  <cp:lastModifiedBy>Xueliang Li</cp:lastModifiedBy>
  <dcterms:created xsi:type="dcterms:W3CDTF">2015-06-05T18:19:34Z</dcterms:created>
  <dcterms:modified xsi:type="dcterms:W3CDTF">2021-07-28T11:38:59Z</dcterms:modified>
</cp:coreProperties>
</file>