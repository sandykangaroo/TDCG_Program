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901"/>
  <workbookPr/>
  <mc:AlternateContent xmlns:mc="http://schemas.openxmlformats.org/markup-compatibility/2006">
    <mc:Choice Requires="x15">
      <x15ac:absPath xmlns:x15ac="http://schemas.microsoft.com/office/spreadsheetml/2010/11/ac" url="D:\02MyCode\TDCGprogram\doc\"/>
    </mc:Choice>
  </mc:AlternateContent>
  <xr:revisionPtr revIDLastSave="0" documentId="13_ncr:1_{FB4FF6CB-3D82-435B-97A0-9229DD241B79}" xr6:coauthVersionLast="46" xr6:coauthVersionMax="46" xr10:uidLastSave="{00000000-0000-0000-0000-000000000000}"/>
  <bookViews>
    <workbookView xWindow="-93" yWindow="-93" windowWidth="25786" windowHeight="13666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2" i="1" l="1"/>
  <c r="E20" i="1"/>
  <c r="F7" i="1"/>
  <c r="E7" i="1"/>
  <c r="F5" i="1"/>
  <c r="E5" i="1"/>
  <c r="E6" i="1"/>
  <c r="E8" i="1"/>
</calcChain>
</file>

<file path=xl/sharedStrings.xml><?xml version="1.0" encoding="utf-8"?>
<sst xmlns="http://schemas.openxmlformats.org/spreadsheetml/2006/main" count="50" uniqueCount="23">
  <si>
    <t>几何与层数</t>
    <phoneticPr fontId="1" type="noConversion"/>
  </si>
  <si>
    <t>Date</t>
    <phoneticPr fontId="1" type="noConversion"/>
  </si>
  <si>
    <t>编译器：ifort-O3</t>
    <phoneticPr fontId="1" type="noConversion"/>
  </si>
  <si>
    <t>lvl3</t>
    <phoneticPr fontId="1" type="noConversion"/>
  </si>
  <si>
    <t>lvl5</t>
    <phoneticPr fontId="1" type="noConversion"/>
  </si>
  <si>
    <t>cIntersectMethod</t>
    <phoneticPr fontId="1" type="noConversion"/>
  </si>
  <si>
    <t>优化内容</t>
    <phoneticPr fontId="1" type="noConversion"/>
  </si>
  <si>
    <t>ncells</t>
    <phoneticPr fontId="1" type="noConversion"/>
  </si>
  <si>
    <t>body-1016element-domain(-150~+150)-nCell(20,20,20)</t>
    <phoneticPr fontId="1" type="noConversion"/>
  </si>
  <si>
    <t>在射线相交法中引入bbox快速判断，并修改染色算法底层逻辑</t>
    <phoneticPr fontId="1" type="noConversion"/>
  </si>
  <si>
    <t>Total time</t>
    <phoneticPr fontId="1" type="noConversion"/>
  </si>
  <si>
    <t>\</t>
    <phoneticPr fontId="1" type="noConversion"/>
  </si>
  <si>
    <t>PA time</t>
    <phoneticPr fontId="1" type="noConversion"/>
  </si>
  <si>
    <t>380A-35124element-domain(-40,-1.7,3,-26,1.7,5.5)-nCell(100,40,40)</t>
    <phoneticPr fontId="1" type="noConversion"/>
  </si>
  <si>
    <t>-</t>
    <phoneticPr fontId="1" type="noConversion"/>
  </si>
  <si>
    <t>RayCast优化，若射线相交次数为0，则直接判断为外部单元；若两次射线结果一致，则不进行第三次判断。</t>
    <phoneticPr fontId="1" type="noConversion"/>
  </si>
  <si>
    <t>RayCast优化，cshift语句移动到递归外部，减少循环次数</t>
    <phoneticPr fontId="1" type="noConversion"/>
  </si>
  <si>
    <t>AABB算法修复少数相交单元未识别的问题</t>
    <phoneticPr fontId="1" type="noConversion"/>
  </si>
  <si>
    <t>2-优化前</t>
    <phoneticPr fontId="1" type="noConversion"/>
  </si>
  <si>
    <t>优化MollerTrumbore模块-去除平行判断</t>
    <phoneticPr fontId="1" type="noConversion"/>
  </si>
  <si>
    <t>优化RayCast模块-增加点在bbox前后判断</t>
    <phoneticPr fontId="1" type="noConversion"/>
  </si>
  <si>
    <t>优化RayCast模块-引入kdtree判断，计算量化为O(log2)</t>
    <phoneticPr fontId="1" type="noConversion"/>
  </si>
  <si>
    <t>4-注释MollerTrumbore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</si>
</sst>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1" fontId="0" fillId="0" borderId="0" xfId="0" applyNumberFormat="1"/>
    <xf numFmtId="2" fontId="0" fillId="0" borderId="0" xfId="0" applyNumberFormat="1"/>
    <xf numFmtId="0" fontId="0" fillId="0" borderId="0" xfId="0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2"/>
  <sheetViews>
    <sheetView tabSelected="1" workbookViewId="0">
      <selection activeCell="D28" sqref="D28"/>
    </sheetView>
  </sheetViews>
  <sheetFormatPr defaultRowHeight="14" x14ac:dyDescent="0.45"/>
  <cols>
    <col min="1" max="1" width="12.87890625" customWidth="1"/>
    <col min="2" max="2" width="38" style="2" customWidth="1"/>
    <col min="3" max="3" width="21" bestFit="1" customWidth="1"/>
    <col min="4" max="4" width="11.5859375" bestFit="1" customWidth="1"/>
    <col min="5" max="5" width="10.234375" bestFit="1" customWidth="1"/>
    <col min="6" max="6" width="8.29296875" bestFit="1" customWidth="1"/>
    <col min="7" max="7" width="8.9375" bestFit="1" customWidth="1"/>
    <col min="8" max="8" width="10.234375" bestFit="1" customWidth="1"/>
    <col min="9" max="9" width="8.29296875" bestFit="1" customWidth="1"/>
    <col min="10" max="10" width="8.9375" bestFit="1" customWidth="1"/>
    <col min="11" max="11" width="10.234375" bestFit="1" customWidth="1"/>
    <col min="12" max="12" width="8.29296875" bestFit="1" customWidth="1"/>
    <col min="13" max="13" width="6.17578125" bestFit="1" customWidth="1"/>
    <col min="14" max="14" width="10.234375" bestFit="1" customWidth="1"/>
    <col min="15" max="15" width="8.29296875" bestFit="1" customWidth="1"/>
  </cols>
  <sheetData>
    <row r="1" spans="1:15" x14ac:dyDescent="0.45">
      <c r="A1" t="s">
        <v>2</v>
      </c>
      <c r="D1" t="s">
        <v>0</v>
      </c>
    </row>
    <row r="2" spans="1:15" ht="30.7" customHeight="1" x14ac:dyDescent="0.45">
      <c r="A2" t="s">
        <v>1</v>
      </c>
      <c r="B2" s="2" t="s">
        <v>6</v>
      </c>
      <c r="C2" t="s">
        <v>5</v>
      </c>
      <c r="D2" s="6" t="s">
        <v>8</v>
      </c>
      <c r="E2" s="6"/>
      <c r="F2" s="6"/>
      <c r="G2" s="6"/>
      <c r="H2" s="6"/>
      <c r="I2" s="6"/>
      <c r="J2" s="3" t="s">
        <v>13</v>
      </c>
      <c r="K2" s="3"/>
      <c r="L2" s="3"/>
      <c r="M2" s="3"/>
      <c r="N2" s="3"/>
      <c r="O2" s="3"/>
    </row>
    <row r="3" spans="1:15" x14ac:dyDescent="0.45">
      <c r="D3" t="s">
        <v>3</v>
      </c>
      <c r="G3" t="s">
        <v>4</v>
      </c>
      <c r="J3" t="s">
        <v>3</v>
      </c>
      <c r="M3" t="s">
        <v>4</v>
      </c>
    </row>
    <row r="4" spans="1:15" x14ac:dyDescent="0.45">
      <c r="D4" t="s">
        <v>7</v>
      </c>
      <c r="E4" t="s">
        <v>10</v>
      </c>
      <c r="F4" t="s">
        <v>12</v>
      </c>
      <c r="G4" t="s">
        <v>7</v>
      </c>
      <c r="H4" t="s">
        <v>10</v>
      </c>
      <c r="I4" t="s">
        <v>12</v>
      </c>
      <c r="J4" t="s">
        <v>7</v>
      </c>
      <c r="K4" t="s">
        <v>10</v>
      </c>
      <c r="L4" t="s">
        <v>12</v>
      </c>
      <c r="M4" t="s">
        <v>7</v>
      </c>
      <c r="N4" t="s">
        <v>10</v>
      </c>
      <c r="O4" t="s">
        <v>12</v>
      </c>
    </row>
    <row r="5" spans="1:15" x14ac:dyDescent="0.45">
      <c r="A5" s="1">
        <v>44307</v>
      </c>
      <c r="B5" s="3" t="s">
        <v>9</v>
      </c>
      <c r="C5">
        <v>1</v>
      </c>
      <c r="D5" s="4">
        <v>148819</v>
      </c>
      <c r="E5" s="5">
        <f>AVERAGE(140.92,140.58)</f>
        <v>140.75</v>
      </c>
      <c r="F5" s="5">
        <f>AVERAGE(13.27,13.25)</f>
        <v>13.26</v>
      </c>
      <c r="G5" s="5"/>
      <c r="H5" s="5"/>
      <c r="I5" s="5"/>
      <c r="J5" s="4"/>
      <c r="K5" s="5"/>
      <c r="L5" s="5"/>
      <c r="M5" s="5"/>
      <c r="N5" s="5"/>
      <c r="O5" s="5"/>
    </row>
    <row r="6" spans="1:15" x14ac:dyDescent="0.45">
      <c r="B6" s="3"/>
      <c r="C6">
        <v>2</v>
      </c>
      <c r="D6" s="4"/>
      <c r="E6" s="5">
        <f>AVERAGE(144.89,146.58)</f>
        <v>145.73500000000001</v>
      </c>
      <c r="F6" s="5" t="s">
        <v>11</v>
      </c>
      <c r="G6" s="5"/>
      <c r="H6" s="5"/>
      <c r="I6" s="5"/>
      <c r="J6" s="4"/>
      <c r="K6" s="5"/>
      <c r="L6" s="5"/>
      <c r="M6" s="5"/>
      <c r="N6" s="5"/>
      <c r="O6" s="5"/>
    </row>
    <row r="7" spans="1:15" x14ac:dyDescent="0.45">
      <c r="B7" s="3"/>
      <c r="C7">
        <v>3</v>
      </c>
      <c r="D7" s="4">
        <v>144605</v>
      </c>
      <c r="E7" s="5">
        <f>AVERAGE(12.59,12.78)</f>
        <v>12.684999999999999</v>
      </c>
      <c r="F7" s="5">
        <f>AVERAGE(12.2,12.03)</f>
        <v>12.114999999999998</v>
      </c>
      <c r="G7" s="5"/>
      <c r="H7" s="5"/>
      <c r="I7" s="5"/>
      <c r="J7" s="4">
        <v>1550165</v>
      </c>
      <c r="K7" s="5">
        <v>11241.41</v>
      </c>
      <c r="L7" s="5" t="s">
        <v>14</v>
      </c>
      <c r="M7" s="5"/>
      <c r="N7" s="5"/>
      <c r="O7" s="5"/>
    </row>
    <row r="8" spans="1:15" x14ac:dyDescent="0.45">
      <c r="B8" s="3"/>
      <c r="C8">
        <v>4</v>
      </c>
      <c r="D8" s="4"/>
      <c r="E8" s="5">
        <f>AVERAGE(20.12,20.38,20.7,20.2)</f>
        <v>20.350000000000001</v>
      </c>
      <c r="F8" s="5" t="s">
        <v>11</v>
      </c>
      <c r="G8" s="5"/>
      <c r="H8" s="5"/>
      <c r="I8" s="5"/>
      <c r="J8" s="4"/>
      <c r="K8" s="5"/>
      <c r="L8" s="5"/>
      <c r="M8" s="5"/>
      <c r="N8" s="5"/>
      <c r="O8" s="5"/>
    </row>
    <row r="9" spans="1:15" x14ac:dyDescent="0.45">
      <c r="A9" s="1">
        <v>44309</v>
      </c>
      <c r="B9" s="3" t="s">
        <v>15</v>
      </c>
      <c r="C9">
        <v>1</v>
      </c>
      <c r="D9" s="4">
        <v>148819</v>
      </c>
      <c r="E9" s="5">
        <v>85.23</v>
      </c>
      <c r="F9" s="5">
        <v>8.81</v>
      </c>
      <c r="G9" s="5"/>
      <c r="H9" s="5"/>
      <c r="I9" s="5"/>
      <c r="J9" s="4"/>
      <c r="K9" s="5"/>
      <c r="L9" s="5"/>
      <c r="M9" s="5"/>
      <c r="N9" s="5"/>
      <c r="O9" s="5"/>
    </row>
    <row r="10" spans="1:15" x14ac:dyDescent="0.45">
      <c r="B10" s="3"/>
      <c r="C10">
        <v>2</v>
      </c>
      <c r="D10" s="4"/>
      <c r="E10" s="5">
        <v>88.66</v>
      </c>
      <c r="F10" s="5" t="s">
        <v>11</v>
      </c>
      <c r="G10" s="5"/>
      <c r="H10" s="5"/>
      <c r="I10" s="5"/>
      <c r="J10" s="4"/>
      <c r="K10" s="5"/>
      <c r="L10" s="5"/>
      <c r="M10" s="5"/>
      <c r="N10" s="5"/>
      <c r="O10" s="5"/>
    </row>
    <row r="11" spans="1:15" x14ac:dyDescent="0.45">
      <c r="B11" s="3"/>
      <c r="C11">
        <v>3</v>
      </c>
      <c r="D11" s="4">
        <v>144605</v>
      </c>
      <c r="E11" s="5">
        <v>8.5500000000000007</v>
      </c>
      <c r="F11" s="5">
        <v>7.97</v>
      </c>
      <c r="G11" s="5"/>
      <c r="H11" s="5"/>
      <c r="I11" s="5"/>
      <c r="J11" s="4"/>
      <c r="K11" s="5"/>
      <c r="L11" s="5"/>
      <c r="M11" s="5"/>
      <c r="N11" s="5"/>
      <c r="O11" s="5"/>
    </row>
    <row r="12" spans="1:15" x14ac:dyDescent="0.45">
      <c r="B12" s="3"/>
      <c r="C12">
        <v>4</v>
      </c>
      <c r="D12" s="4"/>
      <c r="E12" s="5">
        <v>13.06</v>
      </c>
      <c r="F12" s="5" t="s">
        <v>11</v>
      </c>
      <c r="G12" s="5"/>
      <c r="H12" s="5"/>
      <c r="I12" s="5"/>
      <c r="J12" s="4"/>
      <c r="K12" s="5"/>
      <c r="L12" s="5"/>
      <c r="M12" s="5"/>
      <c r="N12" s="5"/>
      <c r="O12" s="5"/>
    </row>
    <row r="13" spans="1:15" x14ac:dyDescent="0.45">
      <c r="A13" s="1">
        <v>44309</v>
      </c>
      <c r="B13" s="3" t="s">
        <v>16</v>
      </c>
      <c r="C13">
        <v>1</v>
      </c>
      <c r="D13" s="4">
        <v>148819</v>
      </c>
      <c r="E13" s="5">
        <v>17.16</v>
      </c>
      <c r="F13" s="5">
        <v>1.64</v>
      </c>
      <c r="G13" s="5"/>
      <c r="H13" s="5"/>
      <c r="I13" s="5"/>
      <c r="J13" s="4"/>
      <c r="K13" s="5"/>
      <c r="L13" s="5"/>
      <c r="M13" s="5"/>
      <c r="N13" s="5"/>
      <c r="O13" s="5"/>
    </row>
    <row r="14" spans="1:15" x14ac:dyDescent="0.45">
      <c r="B14" s="3"/>
      <c r="C14">
        <v>2</v>
      </c>
      <c r="D14" s="4"/>
      <c r="E14" s="5">
        <v>18.27</v>
      </c>
      <c r="F14" s="5" t="s">
        <v>11</v>
      </c>
      <c r="G14" s="5"/>
      <c r="H14" s="5"/>
      <c r="I14" s="5"/>
      <c r="J14" s="4"/>
      <c r="K14" s="5"/>
      <c r="L14" s="5"/>
      <c r="M14" s="5"/>
      <c r="N14" s="5"/>
      <c r="O14" s="5"/>
    </row>
    <row r="15" spans="1:15" x14ac:dyDescent="0.45">
      <c r="B15" s="3"/>
      <c r="C15">
        <v>3</v>
      </c>
      <c r="D15" s="4">
        <v>144605</v>
      </c>
      <c r="E15" s="5">
        <v>2.16</v>
      </c>
      <c r="F15" s="5">
        <v>1.67</v>
      </c>
      <c r="G15" s="5"/>
      <c r="H15" s="5"/>
      <c r="I15" s="5"/>
      <c r="J15" s="4"/>
      <c r="K15" s="5"/>
      <c r="L15" s="5"/>
      <c r="M15" s="5"/>
      <c r="N15" s="5"/>
      <c r="O15" s="5"/>
    </row>
    <row r="16" spans="1:15" x14ac:dyDescent="0.45">
      <c r="B16" s="3"/>
      <c r="C16">
        <v>4</v>
      </c>
      <c r="D16" s="4"/>
      <c r="E16" s="5">
        <v>3.06</v>
      </c>
      <c r="F16" s="5" t="s">
        <v>11</v>
      </c>
      <c r="G16" s="5"/>
      <c r="H16" s="5"/>
      <c r="I16" s="5"/>
      <c r="J16" s="4"/>
      <c r="K16" s="5"/>
      <c r="L16" s="5"/>
      <c r="M16" s="5"/>
      <c r="N16" s="5"/>
      <c r="O16" s="5"/>
    </row>
    <row r="17" spans="1:15" x14ac:dyDescent="0.45">
      <c r="A17" s="1">
        <v>44312</v>
      </c>
      <c r="B17" s="3" t="s">
        <v>17</v>
      </c>
      <c r="C17">
        <v>3</v>
      </c>
      <c r="D17" s="4">
        <v>148924</v>
      </c>
      <c r="E17" s="5">
        <v>2.44</v>
      </c>
      <c r="F17" s="5">
        <v>1.88</v>
      </c>
      <c r="G17">
        <v>2319981</v>
      </c>
      <c r="H17" s="5">
        <v>40.520000000000003</v>
      </c>
      <c r="I17" s="5">
        <v>30.05</v>
      </c>
      <c r="J17" s="4">
        <v>1964523</v>
      </c>
      <c r="K17" s="5">
        <v>700.5</v>
      </c>
      <c r="L17" s="5">
        <v>697.02</v>
      </c>
      <c r="M17" s="5"/>
      <c r="N17" s="5"/>
      <c r="O17" s="5"/>
    </row>
    <row r="18" spans="1:15" x14ac:dyDescent="0.45">
      <c r="B18" s="3"/>
      <c r="C18">
        <v>4</v>
      </c>
      <c r="D18" s="4"/>
      <c r="E18" s="5">
        <v>3.39</v>
      </c>
      <c r="F18" s="5"/>
      <c r="H18" s="5">
        <v>55</v>
      </c>
      <c r="I18" s="5"/>
      <c r="J18" s="4"/>
      <c r="K18" s="5"/>
      <c r="L18" s="5"/>
      <c r="M18" s="5"/>
      <c r="N18" s="5"/>
      <c r="O18" s="5"/>
    </row>
    <row r="19" spans="1:15" x14ac:dyDescent="0.45">
      <c r="B19" s="3" t="s">
        <v>19</v>
      </c>
      <c r="C19" t="s">
        <v>22</v>
      </c>
      <c r="H19">
        <v>29.28</v>
      </c>
      <c r="J19" s="4"/>
    </row>
    <row r="20" spans="1:15" x14ac:dyDescent="0.45">
      <c r="B20" s="3"/>
      <c r="C20" t="s">
        <v>18</v>
      </c>
      <c r="E20">
        <f>AVERAGE(21.02,20.84)</f>
        <v>20.93</v>
      </c>
      <c r="F20" s="5" t="s">
        <v>11</v>
      </c>
      <c r="J20" s="4"/>
    </row>
    <row r="21" spans="1:15" x14ac:dyDescent="0.45">
      <c r="B21" s="3"/>
      <c r="C21">
        <v>2</v>
      </c>
      <c r="E21" s="5">
        <v>19.89</v>
      </c>
      <c r="F21" s="5" t="s">
        <v>11</v>
      </c>
      <c r="J21" s="4"/>
    </row>
    <row r="22" spans="1:15" x14ac:dyDescent="0.45">
      <c r="B22" s="2" t="s">
        <v>20</v>
      </c>
      <c r="C22">
        <v>2</v>
      </c>
      <c r="E22" s="5">
        <f>AVERAGE(18.88,19.36,19.17)</f>
        <v>19.136666666666667</v>
      </c>
      <c r="F22" s="5" t="s">
        <v>11</v>
      </c>
      <c r="J22" s="4"/>
    </row>
    <row r="23" spans="1:15" x14ac:dyDescent="0.45">
      <c r="B23" s="3" t="s">
        <v>21</v>
      </c>
      <c r="C23">
        <v>1</v>
      </c>
      <c r="D23">
        <v>148819</v>
      </c>
      <c r="E23">
        <v>2.4700000000000002</v>
      </c>
      <c r="F23">
        <v>0.22</v>
      </c>
      <c r="G23">
        <v>2309866</v>
      </c>
      <c r="H23">
        <v>38.92</v>
      </c>
      <c r="I23">
        <v>3.52</v>
      </c>
      <c r="J23" s="4"/>
    </row>
    <row r="24" spans="1:15" x14ac:dyDescent="0.45">
      <c r="B24" s="3"/>
      <c r="C24">
        <v>2</v>
      </c>
      <c r="D24">
        <v>148819</v>
      </c>
      <c r="E24">
        <v>2.5299999999999998</v>
      </c>
      <c r="F24" s="5" t="s">
        <v>11</v>
      </c>
      <c r="G24">
        <v>2309866</v>
      </c>
      <c r="H24">
        <v>40.53</v>
      </c>
      <c r="I24" s="5" t="s">
        <v>11</v>
      </c>
      <c r="J24" s="4"/>
    </row>
    <row r="25" spans="1:15" x14ac:dyDescent="0.45">
      <c r="C25">
        <v>3</v>
      </c>
      <c r="D25">
        <v>148924</v>
      </c>
      <c r="E25">
        <v>0.86</v>
      </c>
      <c r="F25">
        <v>0.28000000000000003</v>
      </c>
      <c r="G25">
        <v>2319981</v>
      </c>
      <c r="H25">
        <v>14.16</v>
      </c>
      <c r="I25">
        <v>3.7</v>
      </c>
      <c r="J25" s="4"/>
    </row>
    <row r="26" spans="1:15" x14ac:dyDescent="0.45">
      <c r="C26">
        <v>4</v>
      </c>
      <c r="D26">
        <v>148924</v>
      </c>
      <c r="E26">
        <v>0.9</v>
      </c>
      <c r="F26" s="5" t="s">
        <v>11</v>
      </c>
      <c r="G26">
        <v>2319981</v>
      </c>
      <c r="H26">
        <v>14.64</v>
      </c>
      <c r="I26" s="5" t="s">
        <v>11</v>
      </c>
      <c r="J26" s="4"/>
    </row>
    <row r="27" spans="1:15" x14ac:dyDescent="0.45">
      <c r="C27">
        <v>5</v>
      </c>
      <c r="D27">
        <v>148924</v>
      </c>
      <c r="E27">
        <v>2.52</v>
      </c>
      <c r="F27" s="5" t="s">
        <v>11</v>
      </c>
      <c r="G27">
        <v>2319981</v>
      </c>
      <c r="H27">
        <v>35.39</v>
      </c>
      <c r="I27" s="5" t="s">
        <v>11</v>
      </c>
      <c r="J27" s="4"/>
    </row>
    <row r="28" spans="1:15" x14ac:dyDescent="0.45">
      <c r="C28">
        <v>6</v>
      </c>
      <c r="D28">
        <v>148672</v>
      </c>
      <c r="E28">
        <v>31.89</v>
      </c>
      <c r="F28" s="5" t="s">
        <v>11</v>
      </c>
      <c r="G28">
        <v>2307283</v>
      </c>
      <c r="H28">
        <v>435.05</v>
      </c>
      <c r="I28" s="5" t="s">
        <v>11</v>
      </c>
      <c r="J28" s="4"/>
    </row>
    <row r="29" spans="1:15" x14ac:dyDescent="0.45">
      <c r="J29" s="4"/>
    </row>
    <row r="30" spans="1:15" x14ac:dyDescent="0.45">
      <c r="J30" s="4"/>
    </row>
    <row r="31" spans="1:15" x14ac:dyDescent="0.45">
      <c r="J31" s="4"/>
    </row>
    <row r="32" spans="1:15" x14ac:dyDescent="0.45">
      <c r="J32" s="4"/>
    </row>
  </sheetData>
  <mergeCells count="8">
    <mergeCell ref="J2:O2"/>
    <mergeCell ref="B17:B18"/>
    <mergeCell ref="B19:B21"/>
    <mergeCell ref="B23:B24"/>
    <mergeCell ref="B5:B8"/>
    <mergeCell ref="B9:B12"/>
    <mergeCell ref="B13:B16"/>
    <mergeCell ref="D2:I2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Xueliang Li</dc:creator>
  <cp:lastModifiedBy>Xueliang Li</cp:lastModifiedBy>
  <dcterms:created xsi:type="dcterms:W3CDTF">2015-06-05T18:19:34Z</dcterms:created>
  <dcterms:modified xsi:type="dcterms:W3CDTF">2021-04-26T08:40:50Z</dcterms:modified>
</cp:coreProperties>
</file>